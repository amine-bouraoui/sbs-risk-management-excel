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MSI\Desktop\"/>
    </mc:Choice>
  </mc:AlternateContent>
  <xr:revisionPtr revIDLastSave="0" documentId="13_ncr:1_{BDA48DA9-8AAF-4655-930D-EA2462C97F66}" xr6:coauthVersionLast="47" xr6:coauthVersionMax="47" xr10:uidLastSave="{00000000-0000-0000-0000-000000000000}"/>
  <bookViews>
    <workbookView xWindow="-108" yWindow="-108" windowWidth="23256" windowHeight="12252" activeTab="1" xr2:uid="{00000000-000D-0000-FFFF-FFFF00000000}"/>
  </bookViews>
  <sheets>
    <sheet name="Risk Table" sheetId="1" r:id="rId1"/>
    <sheet name="Dashboard " sheetId="2" r:id="rId2"/>
    <sheet name="CHECKLIST "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17" i="1" l="1"/>
  <c r="X21" i="1"/>
  <c r="X25" i="1"/>
  <c r="X29" i="1"/>
  <c r="X13" i="1"/>
  <c r="M13" i="1"/>
  <c r="I14" i="1"/>
  <c r="I15" i="1"/>
  <c r="J15" i="1" s="1"/>
  <c r="I16" i="1"/>
  <c r="J16" i="1" s="1"/>
  <c r="I17" i="1"/>
  <c r="J17" i="1" s="1"/>
  <c r="I18" i="1"/>
  <c r="J18" i="1" s="1"/>
  <c r="I19" i="1"/>
  <c r="J19" i="1" s="1"/>
  <c r="I20" i="1"/>
  <c r="J20" i="1" s="1"/>
  <c r="I21" i="1"/>
  <c r="J21" i="1" s="1"/>
  <c r="T32" i="1"/>
  <c r="U32" i="1" s="1"/>
  <c r="I32" i="1"/>
  <c r="J32" i="1" s="1"/>
  <c r="T31" i="1"/>
  <c r="U31" i="1" s="1"/>
  <c r="I31" i="1"/>
  <c r="J31" i="1" s="1"/>
  <c r="T30" i="1"/>
  <c r="U30" i="1" s="1"/>
  <c r="I30" i="1"/>
  <c r="J30" i="1" s="1"/>
  <c r="T29" i="1"/>
  <c r="U29" i="1" s="1"/>
  <c r="Y29" i="1" s="1"/>
  <c r="M29" i="1"/>
  <c r="I29" i="1"/>
  <c r="J29" i="1" s="1"/>
  <c r="T28" i="1"/>
  <c r="U28" i="1" s="1"/>
  <c r="I28" i="1"/>
  <c r="J28" i="1" s="1"/>
  <c r="T27" i="1"/>
  <c r="U27" i="1" s="1"/>
  <c r="I27" i="1"/>
  <c r="J27" i="1" s="1"/>
  <c r="T26" i="1"/>
  <c r="U26" i="1" s="1"/>
  <c r="I26" i="1"/>
  <c r="J26" i="1" s="1"/>
  <c r="T25" i="1"/>
  <c r="U25" i="1" s="1"/>
  <c r="M25" i="1"/>
  <c r="I25" i="1"/>
  <c r="J25" i="1" s="1"/>
  <c r="T24" i="1"/>
  <c r="U24" i="1" s="1"/>
  <c r="I24" i="1"/>
  <c r="J24" i="1" s="1"/>
  <c r="T23" i="1"/>
  <c r="U23" i="1" s="1"/>
  <c r="I23" i="1"/>
  <c r="J23" i="1" s="1"/>
  <c r="T22" i="1"/>
  <c r="U22" i="1" s="1"/>
  <c r="I22" i="1"/>
  <c r="J22" i="1" s="1"/>
  <c r="T21" i="1"/>
  <c r="U21" i="1" s="1"/>
  <c r="M21" i="1"/>
  <c r="T20" i="1"/>
  <c r="U20" i="1" s="1"/>
  <c r="T19" i="1"/>
  <c r="U19" i="1" s="1"/>
  <c r="T18" i="1"/>
  <c r="U18" i="1" s="1"/>
  <c r="T17" i="1"/>
  <c r="U17" i="1" s="1"/>
  <c r="M17" i="1"/>
  <c r="T16" i="1"/>
  <c r="U16" i="1" s="1"/>
  <c r="T15" i="1"/>
  <c r="U15" i="1" s="1"/>
  <c r="T14" i="1"/>
  <c r="U14" i="1" s="1"/>
  <c r="J14" i="1"/>
  <c r="N14" i="1" s="1"/>
  <c r="T13" i="1"/>
  <c r="U13" i="1" s="1"/>
  <c r="I13" i="1"/>
  <c r="J13" i="1" s="1"/>
  <c r="N29" i="1" l="1"/>
  <c r="Y15" i="1"/>
  <c r="Z29" i="1"/>
  <c r="N13" i="1"/>
  <c r="Y32" i="1"/>
  <c r="Y23" i="1"/>
  <c r="Y24" i="1"/>
  <c r="Y22" i="1"/>
  <c r="Y19" i="1"/>
  <c r="Y30" i="1"/>
  <c r="Y20" i="1"/>
  <c r="Y28" i="1"/>
  <c r="Y17" i="1"/>
  <c r="Y18" i="1"/>
  <c r="Y25" i="1"/>
  <c r="Y31" i="1"/>
  <c r="X33" i="1"/>
  <c r="Y27" i="1"/>
  <c r="Y26" i="1"/>
  <c r="Y21" i="1"/>
  <c r="Y14" i="1"/>
  <c r="Z14" i="1" s="1"/>
  <c r="Y16" i="1"/>
  <c r="V21" i="1"/>
  <c r="V13" i="1"/>
  <c r="V17" i="1"/>
  <c r="V25" i="1"/>
  <c r="V29" i="1"/>
  <c r="K13" i="1"/>
  <c r="K25" i="1"/>
  <c r="K21" i="1"/>
  <c r="K17" i="1"/>
  <c r="K29" i="1"/>
  <c r="N18" i="1"/>
  <c r="M33" i="1"/>
  <c r="N19" i="1"/>
  <c r="N25" i="1"/>
  <c r="N21" i="1"/>
  <c r="N26" i="1"/>
  <c r="N30" i="1"/>
  <c r="N31" i="1"/>
  <c r="N32" i="1"/>
  <c r="N23" i="1"/>
  <c r="Y13" i="1"/>
  <c r="N16" i="1"/>
  <c r="N27" i="1"/>
  <c r="N17" i="1"/>
  <c r="K110" i="1"/>
  <c r="J110" i="1"/>
  <c r="K109" i="1"/>
  <c r="J109" i="1"/>
  <c r="K108" i="1"/>
  <c r="J108" i="1"/>
  <c r="K107" i="1"/>
  <c r="N15" i="1"/>
  <c r="Z15" i="1" s="1"/>
  <c r="AA15" i="1" s="1" a="1"/>
  <c r="AA15" i="1" s="1"/>
  <c r="J107" i="1"/>
  <c r="N24" i="1"/>
  <c r="N20" i="1"/>
  <c r="N22" i="1"/>
  <c r="N28" i="1"/>
  <c r="Z17" i="1" l="1"/>
  <c r="W13" i="1" a="1"/>
  <c r="W13" i="1" s="1"/>
  <c r="L7" i="2" s="1"/>
  <c r="W21" i="1" a="1"/>
  <c r="W21" i="1" s="1"/>
  <c r="L15" i="2" s="1"/>
  <c r="W17" i="1" a="1"/>
  <c r="W17" i="1" s="1"/>
  <c r="L11" i="2" s="1"/>
  <c r="L29" i="1" a="1"/>
  <c r="L29" i="1" s="1"/>
  <c r="L17" i="1" a="1"/>
  <c r="L17" i="1" s="1"/>
  <c r="L21" i="1" a="1"/>
  <c r="L21" i="1" s="1"/>
  <c r="L25" i="1" a="1"/>
  <c r="L25" i="1" s="1"/>
  <c r="L13" i="1" a="1"/>
  <c r="L13" i="1" s="1"/>
  <c r="W29" i="1" a="1"/>
  <c r="W29" i="1" s="1"/>
  <c r="L23" i="2" s="1"/>
  <c r="W25" i="1" a="1"/>
  <c r="W25" i="1" s="1"/>
  <c r="L19" i="2" s="1"/>
  <c r="Z18" i="1"/>
  <c r="AA18" i="1" s="1" a="1"/>
  <c r="AA18" i="1" s="1"/>
  <c r="Z28" i="1"/>
  <c r="AA28" i="1" s="1" a="1"/>
  <c r="AA28" i="1" s="1"/>
  <c r="O13" i="1"/>
  <c r="AA14" i="1" a="1"/>
  <c r="AA14" i="1" s="1"/>
  <c r="AA17" i="1" a="1"/>
  <c r="AA17" i="1" s="1"/>
  <c r="AA29" i="1" a="1"/>
  <c r="AA29" i="1" s="1"/>
  <c r="Z20" i="1"/>
  <c r="AA20" i="1" s="1" a="1"/>
  <c r="AA20" i="1" s="1"/>
  <c r="Z30" i="1"/>
  <c r="AA30" i="1" s="1" a="1"/>
  <c r="AA30" i="1" s="1"/>
  <c r="Z19" i="1"/>
  <c r="AA19" i="1" s="1" a="1"/>
  <c r="AA19" i="1" s="1"/>
  <c r="Z21" i="1"/>
  <c r="Z22" i="1"/>
  <c r="AA22" i="1" s="1" a="1"/>
  <c r="AA22" i="1" s="1"/>
  <c r="Z26" i="1"/>
  <c r="AA26" i="1" s="1" a="1"/>
  <c r="AA26" i="1" s="1"/>
  <c r="Z24" i="1"/>
  <c r="AA24" i="1" s="1" a="1"/>
  <c r="AA24" i="1" s="1"/>
  <c r="Z27" i="1"/>
  <c r="AA27" i="1" s="1" a="1"/>
  <c r="AA27" i="1" s="1"/>
  <c r="Z23" i="1"/>
  <c r="AA23" i="1" s="1" a="1"/>
  <c r="AA23" i="1" s="1"/>
  <c r="Z32" i="1"/>
  <c r="AA32" i="1" s="1" a="1"/>
  <c r="AA32" i="1" s="1"/>
  <c r="Z31" i="1"/>
  <c r="AA31" i="1" s="1" a="1"/>
  <c r="AA31" i="1" s="1"/>
  <c r="Z16" i="1"/>
  <c r="AA16" i="1" s="1" a="1"/>
  <c r="AA16" i="1" s="1"/>
  <c r="AD25" i="1"/>
  <c r="Z25" i="1"/>
  <c r="AD13" i="1"/>
  <c r="Z13" i="1"/>
  <c r="AD21" i="1"/>
  <c r="AD29" i="1"/>
  <c r="AD17" i="1"/>
  <c r="O29" i="1"/>
  <c r="O25" i="1"/>
  <c r="O17" i="1"/>
  <c r="O21" i="1"/>
  <c r="J15" i="2" l="1"/>
  <c r="J11" i="2"/>
  <c r="J23" i="2"/>
  <c r="J7" i="2"/>
  <c r="J19" i="2"/>
  <c r="AB25" i="1"/>
  <c r="AC25" i="1" s="1" a="1"/>
  <c r="AC25" i="1" s="1"/>
  <c r="K19" i="2" s="1"/>
  <c r="O33" i="1"/>
  <c r="AB33" i="1"/>
  <c r="AB36" i="1" s="1" a="1"/>
  <c r="AB36" i="1" s="1"/>
  <c r="K27" i="2" s="1"/>
  <c r="AB17" i="1"/>
  <c r="AC17" i="1" s="1" a="1"/>
  <c r="AC17" i="1" s="1"/>
  <c r="K11" i="2" s="1"/>
  <c r="AA13" i="1" a="1"/>
  <c r="AA13" i="1" s="1"/>
  <c r="AB13" i="1"/>
  <c r="AC13" i="1" s="1" a="1"/>
  <c r="AC13" i="1" s="1"/>
  <c r="K7" i="2" s="1"/>
  <c r="AA21" i="1" a="1"/>
  <c r="AA21" i="1" s="1"/>
  <c r="AB21" i="1"/>
  <c r="AC21" i="1" s="1" a="1"/>
  <c r="AC21" i="1" s="1"/>
  <c r="K15" i="2" s="1"/>
  <c r="AA25" i="1" a="1"/>
  <c r="AA25" i="1" s="1"/>
  <c r="AB29" i="1"/>
  <c r="AC29" i="1" s="1" a="1"/>
  <c r="AC29" i="1" s="1"/>
  <c r="K23" i="2" s="1"/>
  <c r="AD33" i="1"/>
  <c r="AD36" i="1" s="1" a="1"/>
  <c r="AD36" i="1" s="1"/>
  <c r="L27" i="2" s="1"/>
  <c r="O36" i="1" l="1" a="1"/>
  <c r="O36" i="1" s="1"/>
  <c r="J27"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<sst xmlns="http://schemas.openxmlformats.org/spreadsheetml/2006/main" count="402" uniqueCount="234">
  <si>
    <t>Risk ID</t>
  </si>
  <si>
    <t xml:space="preserve">Risk Name </t>
  </si>
  <si>
    <t>Risk Description</t>
  </si>
  <si>
    <t>Risk Owner</t>
  </si>
  <si>
    <t>Probability</t>
  </si>
  <si>
    <t>Impact</t>
  </si>
  <si>
    <t>Weighted Score</t>
  </si>
  <si>
    <t>Operational Risks</t>
  </si>
  <si>
    <t>OP1</t>
  </si>
  <si>
    <t>Product Supply Shortages</t>
  </si>
  <si>
    <t>Frequent shortages of cleaning materials, uniforms, or basic supplies due to poor stock tracking</t>
  </si>
  <si>
    <t>Service disruption and declining client satisfaction due to incomplete equipment availability; staff forced to improvise or delay tasks until materials arrive.</t>
  </si>
  <si>
    <t>Operations Manager</t>
  </si>
  <si>
    <t>High</t>
  </si>
  <si>
    <t>Implement a monthly inventory monitoring system, assign a responsible person to manage supply levels, and establish agreements with alternative local suppliers for urgent needs.</t>
  </si>
  <si>
    <t>To maintain consistent material availability, minimize service interruptions, and ensure rapid response to supplier delays through proactive stock control.</t>
  </si>
  <si>
    <t>Very Low</t>
  </si>
  <si>
    <t>Low</t>
  </si>
  <si>
    <t>OP2</t>
  </si>
  <si>
    <t>Equipment Deterioration</t>
  </si>
  <si>
    <t>Aging and poorly maintained equipment, tools, and safety gear due to irregular servicing or delayed replacement decisions.</t>
  </si>
  <si>
    <t>Decline in operational efficiency, increased maintenance costs, and higher risk of service interruption or safety incidents when tools fail during work.</t>
  </si>
  <si>
    <t>Develop and implement a structured annual maintenance plan; allocate a small annual budget for preventive replacement of critical tools and safety gear.</t>
  </si>
  <si>
    <t>To minimize unplanned breakdowns, reduce maintenance expenses, and maintain consistent performance through proactive maintenance and replacement planning.</t>
  </si>
  <si>
    <t>Medium</t>
  </si>
  <si>
    <t>OP3</t>
  </si>
  <si>
    <t>Poor Service Quality &amp; Delays</t>
  </si>
  <si>
    <t>Inconsistent service quality and frequent delivery delays caused by insufficient supervision, unmonitored staff behavior, and lack of real-time feedback mechanisms.</t>
  </si>
  <si>
    <t>Reduced client trust and satisfaction; repeated complaints related to staff absenteeism, poor discipline, and inconsistent task completion. This can jeopardize contract renewals with key clients.</t>
  </si>
  <si>
    <t>Operations Supervisor</t>
  </si>
  <si>
    <t>Very High</t>
  </si>
  <si>
    <t>Implement a weekly supervision checklist, conduct monthly client satisfaction surveys.</t>
  </si>
  <si>
    <t>To ensure consistent service quality, improve employee accountability, and strengthen client relationships through continuous supervision.</t>
  </si>
  <si>
    <t>OP4</t>
  </si>
  <si>
    <t>Inefficient Delivery Process</t>
  </si>
  <si>
    <t>Inefficient delivery planning and poor route optimization for supply transport, leading to unnecessary trips, higher fuel consumption, and scheduling conflicts between branches.</t>
  </si>
  <si>
    <t>Frequent delays in material delivery, higher operating and fuel costs, and reduced productivity at work sites waiting for supplies.</t>
  </si>
  <si>
    <t>Logistics Manager</t>
  </si>
  <si>
    <t>Consolidate supply requests and organize deliveries on a quarterly schedule for distant branches; optimize delivery routes and group orders to reduce transport frequency.</t>
  </si>
  <si>
    <t>To improve delivery efficiency, lower fuel and transport expenses, and ensure materials reach each branch on time through better planning and route coordination.</t>
  </si>
  <si>
    <t>Marketing Risks</t>
  </si>
  <si>
    <t>M1</t>
  </si>
  <si>
    <t>decreace Negative Client Feedback handling cause of retierement Client Relations Officer</t>
  </si>
  <si>
    <t>Repeated negative feedback or complaints from clients due to service inconsistencies or communication gaps. Most issues are currently managed directly by the Client Relations Officer, who resolves problems quickly through phone communication thanks to his long experience and professional network. However, he is nearing retirement, creating a potential gap in client management continuity.</t>
  </si>
  <si>
    <t>Short-term reputational impact and reduced client satisfaction if unresolved. In the future, loss of the current officer’s experience and personal client relationships could increase response time and reduce trust with long-term clients.</t>
  </si>
  <si>
    <t>HR Manager</t>
  </si>
  <si>
    <t>Assign one team member to work closely with the Client Relations Officer to learn his methods, maintain his client relationships, and document all contact information. The current officer should introduce this successor to key client contacts before retirement. Additionally, record all client complaints and feedback in a simple tracking sheet, reviewed monthly.</t>
  </si>
  <si>
    <t>To ensure continuity in client relationship management, preserve institutional knowledge, and maintain the same quick and personal service level after the current officer’s retirement. Establishing a feedback record will also improve transparency and long-term service quality.</t>
  </si>
  <si>
    <t>M2</t>
  </si>
  <si>
    <t>Low Market Visibility</t>
  </si>
  <si>
    <t>Limited marketing presence and visibility in the private sector due to the absence of dedicated business development efforts or digital promotion. SBS primarily relies on long-term public contracts and personal connections, which limits opportunities to attract private-sector clients such as hotels, offices, and industrial companies.</t>
  </si>
  <si>
    <t>Missed growth opportunities and overreliance on public contracts. The company’s financial stability and client portfolio diversification are at risk if public tenders decrease or payment delays increase.</t>
  </si>
  <si>
    <t>General Manager</t>
  </si>
  <si>
    <t>Recruit or assign a Commercial Agent responsible for approaching private-sector clients (e.g., hotels, offices, factories). The agent will prepare simple marketing materials (brochure or profile) and establish partnerships through business networks.</t>
  </si>
  <si>
    <t>To expand SBS’s market presence by attracting private clients, reducing dependency on public-sector contracts, and ensuring long-term financial stability through diversified revenue streams.</t>
  </si>
  <si>
    <t>M3</t>
  </si>
  <si>
    <t>No Ambition for International Expansion</t>
  </si>
  <si>
    <t>Lack of strategic ambition or initiative to explore opportunities for providing services abroad. SBS has never discussed expanding operations internationally or networking with foreign partners, limiting its exposure to new markets.</t>
  </si>
  <si>
    <t>The company remains fully dependent on the domestic market and vulnerable to local economic instability. By not engaging internationally, SBS misses potential collaborations, growth opportunities, and visibility among regional or global security and facility service providers.</t>
  </si>
  <si>
    <t>Participate in international fairs and exhibitions dedicated to security and cleaning service providers. Use these events to network with potential partners, learn about global market trends, and identify opportunities for regional or cross-border operations.</t>
  </si>
  <si>
    <t>To encourage strategic openness and long-term growth by exposing management to international practices, building partnerships, and exploring new market opportunities through active participation in professional fairs.</t>
  </si>
  <si>
    <t>M4</t>
  </si>
  <si>
    <t>Low Innovation &amp; Lack of New Services</t>
  </si>
  <si>
    <t>Limited investment in innovation and new service development. SBS continues to offer the same traditional cleaning and guarding services without adopting modern techniques, eco-friendly solutions.</t>
  </si>
  <si>
    <t>Gradual loss of competitiveness and market attractiveness, especially among private or international clients who increasingly value modern, sustainable, and efficient service solutions.</t>
  </si>
  <si>
    <t>Launch a pilot eco-cleaning or smart service program in one branch. Test new environmentally friendly products and modern cleaning or security technologies. Evaluate client feedback and operational benefits before wider implementation.</t>
  </si>
  <si>
    <t>To stimulate innovation within the company, improve service quality, and enhance SBS’s brand image by integrating sustainable and modern practices that align with global trends.</t>
  </si>
  <si>
    <t>Financial Risks</t>
  </si>
  <si>
    <t>F1</t>
  </si>
  <si>
    <t>Client Late Payments</t>
  </si>
  <si>
    <t>Recurring late payments from major public clients such as STEG, CNAM, and CNRPS, often exceeding agreed payment terms. These delays are common in public-sector contracts due to long administrative procedures and complex validation cycles.</t>
  </si>
  <si>
    <t>Cash-flow pressure that can delay salary payments and supplier settlements. Prolonged delays may affect daily operations, reduce liquidity, and limit the company’s ability to invest or respond to emergencies.</t>
  </si>
  <si>
    <t>Finance Manager</t>
  </si>
  <si>
    <t>Negotiate partial advance payments in all new contracts, prioritize collaborations with faster-paying clients, and maintain a monthly monitoring table to track outstanding invoices and payment status.</t>
  </si>
  <si>
    <t>To improve cash-flow stability and reduce financial stress by ensuring predictable revenue streams and faster recovery of client payments through proactive negotiation and tracking.</t>
  </si>
  <si>
    <t>F2</t>
  </si>
  <si>
    <t>Rising Operating Costs (Inflation)</t>
  </si>
  <si>
    <t>Continuous increase in operating costs caused by inflation, higher wages, and rising prices of cleaning materials, fuel, and equipment. Since most SBS contracts are fixed-price agreements, the company cannot adjust billing rates to match cost increases.</t>
  </si>
  <si>
    <t>Declining profit margins and reduced financial flexibility. Persistent inflation erodes profitability and limits the company’s ability to reinvest in equipment, staff training, or maintenance.</t>
  </si>
  <si>
    <t>Negotiate annual price adjustment clauses with major clients to partially reflect inflation. Purchase frequently used materials in bulk to secure better pricing and anticipate cost fluctuations.</t>
  </si>
  <si>
    <t>To protect profit margins and ensure financial sustainability by securing more flexible contract terms and optimizing purchasing strategies against market price volatility.</t>
  </si>
  <si>
    <t>F3</t>
  </si>
  <si>
    <t>Dependence on Few Major Clients</t>
  </si>
  <si>
    <t>Strong dependence on a small number of large public clients such as STEG, CNAM, and CNRPS. More than half of SBS’s revenue relies on these contracts, which makes the company highly exposed to financial instability if one of them is lost or delayed.</t>
  </si>
  <si>
    <t>Losing a single major contract would significantly reduce monthly revenue, create cash-flow gaps, and potentially lead to workforce downsizing. Dependence on public clients also increases exposure to payment delays and administrative renewal risks.</t>
  </si>
  <si>
    <t>Business Development Manager</t>
  </si>
  <si>
    <t>Recruit a Commercial Agent dedicated to prospecting and negotiating with private-sector clients (e.g., hotels, offices, factories). Develop simple company presentations and service offers to attract new clients and diversify the client base.</t>
  </si>
  <si>
    <t>To reduce financial vulnerability by diversifying the company’s client portfolio, balancing public and private contracts, and ensuring long-term revenue stability.</t>
  </si>
  <si>
    <t>F4</t>
  </si>
  <si>
    <t>Contract Loss from new uninformed Competition</t>
  </si>
  <si>
    <t>Increasing competition from informal or newly established companies that use aggressive price-cutting (penetration strategy) to win contracts. These competitors often lack professional standards or long-term stability but create pressure on SBS to lower prices.</t>
  </si>
  <si>
    <t>Risk of losing contracts to cheaper but less qualified competitors, resulting in sudden revenue loss and planning instability. Lower pricing in the market can also reduce profit margins and affect SBS’s ability to retain skilled staff.</t>
  </si>
  <si>
    <t>Focus on service quality differentiation, client satisfaction, and transparent communication to highlight SBS’s professionalism and reliability. Strengthen long-term relationships with clients through regular meetings, trust-based partnerships, and performance reports.</t>
  </si>
  <si>
    <t>To maintain client loyalty and competitive advantage by emphasizing service reliability, quality, and compliance — rather than price — ensuring that clients value SBS for long-term trust and performance.</t>
  </si>
  <si>
    <t>Legal Risks</t>
  </si>
  <si>
    <t>L1</t>
  </si>
  <si>
    <t>Slow Worker Documentation (Contract Non-Compliance)</t>
  </si>
  <si>
    <t>Delays in completing worker documentation and administrative files (e.g., CNSS registration, ID copies, medical checks) at the start of contracts. Many employees are older and slower to provide required documents, causing minor non-compliance with contract or client requirements.</t>
  </si>
  <si>
    <t>Administrative non-compliance that may lead to written client observations or temporary delays in payment approval. However, operations continue normally while documents are completed.</t>
  </si>
  <si>
    <t>Simplify and standardize the employee onboarding checklist. Collect and verify all required documents before assigning staff to sites, and assign one HR assistant to follow up on missing paperwork during the first week of each new contract.</t>
  </si>
  <si>
    <t>To ensure full legal and administrative compliance from the start of each contract, minimize client observations, and maintain a clean audit trail for CNSS and contractual documentation.</t>
  </si>
  <si>
    <t>L2</t>
  </si>
  <si>
    <t>Labor Law Non-Compliance</t>
  </si>
  <si>
    <t>Potential non-compliance with Tunisian labor law, including excessive overtime, delayed CNSS registration, or employing temporary workers without full documentation. These issues often result from tight deadlines, urgent replacements, or limited HR follow-up.</t>
  </si>
  <si>
    <t>Exposure to CNSS penalties, labor inspection warnings, or financial sanctions. Repeated violations may damage SBS’s reputation with public clients and delay contract renewals.</t>
  </si>
  <si>
    <t>Strengthen HR monitoring by ensuring timely CNSS registration for all new employees and keeping digital records of declarations. Assign a backup employee to manage administrative compliance and worker replacements during absences or peak periods.</t>
  </si>
  <si>
    <t>To ensure full compliance with labor regulations, reduce the risk of fines or client penalties, and maintain SBS’s credibility during audits or inspections.</t>
  </si>
  <si>
    <t>L3</t>
  </si>
  <si>
    <t>Late Public Contract Renewals</t>
  </si>
  <si>
    <t>Uncertainty and delays in the renewal or confirmation of public-sector contracts. SBS often receives final decisions only a few days before contract expiration, leaving limited time to plan staffing, equipment, and logistics for the next period.</t>
  </si>
  <si>
    <t>Difficulties in workforce allocation and operational planning. The company may temporarily overstaff or understaff sites, causing inefficiencies, idle time, or service gaps. Late notifications can also delay administrative procedures and create financial uncertainty.</t>
  </si>
  <si>
    <t>Maintain regular communication with public procurement offices and contract managers to obtain early visibility on renewal timelines. Prepare staffing and resource scenarios in advance, allowing rapid adjustments once renewal decisions are confirmed.</t>
  </si>
  <si>
    <t>To anticipate contract renewals by improving communication with public clients and maintaining flexible operational planning, ensuring uninterrupted service delivery and smoother administrative transitions.</t>
  </si>
  <si>
    <t>L4</t>
  </si>
  <si>
    <t>Work Accident Legal Claims</t>
  </si>
  <si>
    <t>Potential work-related accidents among cleaning and security staff due to physical tasks, use of chemicals, or lack of safety awareness. These incidents may result in injury claims, CNSS procedures, or legal compensation requests from employees.</t>
  </si>
  <si>
    <t>Financial exposure through legal compensation or temporary replacement costs. Accidents can also damage SBS’s reputation with clients and lead to increased insurance premiums or inspection frequency.</t>
  </si>
  <si>
    <t>HR &amp; Safety Officer</t>
  </si>
  <si>
    <t>Conduct regular safety briefings and ensure all employees receive appropriate training on protective equipment and safe working practices. Hire or consult a legal advisor to review accident procedures and ensure compliance with CNSS and labor regulations.</t>
  </si>
  <si>
    <t>To minimize the risk of work accidents, strengthen legal compliance, and protect both employees and the company through preventive safety measures and proper incident documentation.</t>
  </si>
  <si>
    <t>Human Risks</t>
  </si>
  <si>
    <t>H1</t>
  </si>
  <si>
    <t>High Absenteeism (Summer Peaks)</t>
  </si>
  <si>
    <t>High employee absenteeism, especially during summer months, due to heat, fatigue, or personal commitments. This trend is observed across multiple sites and leads to inconsistent staffing levels and operational disruptions.</t>
  </si>
  <si>
    <t>Service delays, reduced productivity, and increased workload for available staff, which can cause fatigue, lower morale, and further absenteeism. Prolonged shortages may affect client satisfaction and service continuity.</t>
  </si>
  <si>
    <t>Introduce attendance bonuses during summer to motivate presence and punctuality. Implement shift rotation and adjust work schedules to limit exposure to extreme heat and balance workload among teams.</t>
  </si>
  <si>
    <t>To reduce absenteeism during high-risk periods by rewarding attendance, improving work conditions, and ensuring operational continuity through better schedule management.</t>
  </si>
  <si>
    <t>H2</t>
  </si>
  <si>
    <t>Lack of Training Culture</t>
  </si>
  <si>
    <t>Absence of a structured training program for employees and supervisors. Most staff learn tasks informally on-site without standardized guidance, which limits skill development, safety awareness, and service quality.</t>
  </si>
  <si>
    <t>Long-term decline in performance, safety incidents due to lack of awareness, and reduced ability to adapt to new client requirements or technologies. The company becomes dependent on experience rather than skill improvement.</t>
  </si>
  <si>
    <t>Establish an internal peer mentoring and auto-training system where experienced employees train newcomers. Conduct short monthly refreshers on safety, cleaning procedures, and client communication to promote a culture of continuous learning.</t>
  </si>
  <si>
    <t>To build internal competencies, enhance safety and service consistency, and reduce external training costs by promoting knowledge sharing and ongoing employee development.</t>
  </si>
  <si>
    <t>H3</t>
  </si>
  <si>
    <t>Employee Turnover &amp; Shortage</t>
  </si>
  <si>
    <t>High employee turnover and staff shortages, particularly during summer months when many workers leave for temporary jobs in the tourism sector or abroad. Recruitment delays occur frequently, especially in regional branches where qualified replacements are harder to find.</t>
  </si>
  <si>
    <t>Service interruptions and reduced performance due to lack of experienced staff. Existing employees face increased workload, lowering morale and further accelerating turnover.</t>
  </si>
  <si>
    <t>Introduce a referral bonus of 150 DT for employees who help recruit qualified replacements(Require 2 weeks notice). Maintain a reserve list of part-time or previously trained workers who can be contacted during peak shortages.</t>
  </si>
  <si>
    <t>To retain skilled workers and speed up recruitment through internal referrals and proactive workforce planning, ensuring continuity of service even during high-turnover periods.</t>
  </si>
  <si>
    <t>H4</t>
  </si>
  <si>
    <t>Workplace Accidents</t>
  </si>
  <si>
    <t>Possibility of workplace accidents involving cleaning or security staff due to manual handling, use of chemicals, or lack of protective equipment. Some incidents occur because employees underestimate safety risks or skip proper procedures under time pressure.</t>
  </si>
  <si>
    <t>Medical expenses, CNSS injury claims, and potential loss of working hours. Accidents can also affect team morale and SBS’s credibility with clients if safety incidents occur on their premises.</t>
  </si>
  <si>
    <t>Conduct monthly safety inspections and provide short first-aid and safety refreshers to all staff. Ensure availability and proper use of personal protective equipment (PPE) at every site.</t>
  </si>
  <si>
    <t>To prevent accidents, reduce injury-related costs, and create a safe working environment by promoting continuous awareness of safety practices and ensuring all employees are properly equipped and trained.</t>
  </si>
  <si>
    <t xml:space="preserve">Rating Before Mitigation </t>
  </si>
  <si>
    <t xml:space="preserve">Rating After Mitigation </t>
  </si>
  <si>
    <t>Parameters</t>
  </si>
  <si>
    <t>Critical</t>
  </si>
  <si>
    <t>Severe</t>
  </si>
  <si>
    <t>Moderate</t>
  </si>
  <si>
    <t>Sustainable</t>
  </si>
  <si>
    <t>Category</t>
  </si>
  <si>
    <t>Description</t>
  </si>
  <si>
    <t>Score</t>
  </si>
  <si>
    <t>Needs immediate action — unacceptable risk</t>
  </si>
  <si>
    <t>High priority — mitigation plan needed</t>
  </si>
  <si>
    <t>Monitor and control</t>
  </si>
  <si>
    <t>Risk Level</t>
  </si>
  <si>
    <t>Count Before Mitigation</t>
  </si>
  <si>
    <t>Count After Mitigation</t>
  </si>
  <si>
    <t>Acceptable or minimal risk</t>
  </si>
  <si>
    <t>CRITICAL</t>
  </si>
  <si>
    <t>SEVERE</t>
  </si>
  <si>
    <t>MODERATE</t>
  </si>
  <si>
    <t>Reasoning</t>
  </si>
  <si>
    <t>Importance (%)</t>
  </si>
  <si>
    <t xml:space="preserve">SUSTAINABLE </t>
  </si>
  <si>
    <t>SBS success depends on daily cleaning &amp; guarding service quality — operational failure = client loss.</t>
  </si>
  <si>
    <t>Labor-intensive business; service quality fully depends on employees’ reliability and presence.</t>
  </si>
  <si>
    <t>Cash flow and late client payments strongly affect sustainability.</t>
  </si>
  <si>
    <t>Compliance with health &amp; safety laws and contracts; essential but manageable.</t>
  </si>
  <si>
    <t>Company relies more on contracts than advertising, so marketing risk is smaller.</t>
  </si>
  <si>
    <t>Action Level</t>
  </si>
  <si>
    <t>Immediate action required — unacceptable risk</t>
  </si>
  <si>
    <t>Escalate to management, mitigate now</t>
  </si>
  <si>
    <t>Monitor monthly; assign owners</t>
  </si>
  <si>
    <t>Manageable — monitor and control</t>
  </si>
  <si>
    <t>Review quarterly</t>
  </si>
  <si>
    <t>Maintain current practices</t>
  </si>
  <si>
    <t>Status</t>
  </si>
  <si>
    <t>Item</t>
  </si>
  <si>
    <t>Risk Identification</t>
  </si>
  <si>
    <t xml:space="preserve">Risk description </t>
  </si>
  <si>
    <t>Risk Category</t>
  </si>
  <si>
    <t>Probability (Pre-Mitigation)</t>
  </si>
  <si>
    <t>Impact (Pre-Mitigation)</t>
  </si>
  <si>
    <t>Risk Score (Pre-Mitigation)</t>
  </si>
  <si>
    <t>Rating (Pre-Mitigation)</t>
  </si>
  <si>
    <t>Mitigation Measures</t>
  </si>
  <si>
    <t>Probability After Mitigation</t>
  </si>
  <si>
    <t>Impact After Mitigation</t>
  </si>
  <si>
    <t>Residual Risk Score</t>
  </si>
  <si>
    <t>Residual Rating</t>
  </si>
  <si>
    <t>Formula Protection</t>
  </si>
  <si>
    <t>Color Mapping Consistency</t>
  </si>
  <si>
    <t>Dashboard Updates Automatically</t>
  </si>
  <si>
    <t>Total Weightings :</t>
  </si>
  <si>
    <r>
      <rPr>
        <sz val="10"/>
        <color rgb="FF00B050"/>
        <rFont val="Arial"/>
        <family val="2"/>
        <scheme val="minor"/>
      </rPr>
      <t>✔️</t>
    </r>
    <r>
      <rPr>
        <sz val="10"/>
        <color theme="1"/>
        <rFont val="Arial"/>
        <family val="2"/>
        <scheme val="minor"/>
      </rPr>
      <t>​</t>
    </r>
  </si>
  <si>
    <t>Dashboard</t>
  </si>
  <si>
    <t>CHECKLIST</t>
  </si>
  <si>
    <t>Weighted Score Range MIN</t>
  </si>
  <si>
    <t>Weighted Score Range MAX</t>
  </si>
  <si>
    <t>Margin Range MIN</t>
  </si>
  <si>
    <t>Margin Range MAX</t>
  </si>
  <si>
    <t>Strong Improvement</t>
  </si>
  <si>
    <t>Moderate Improvement</t>
  </si>
  <si>
    <t>Slight Improvement</t>
  </si>
  <si>
    <t>No Change</t>
  </si>
  <si>
    <t>Regression</t>
  </si>
  <si>
    <t>Significant reduction in weighted score — major risk improvement.</t>
  </si>
  <si>
    <t>Noticeable improvement — mitigation effective.</t>
  </si>
  <si>
    <t>Minor improvement — partial progress seen.</t>
  </si>
  <si>
    <t>Risk remained stable — mitigation neutral.</t>
  </si>
  <si>
    <t>Weighted score increased — risk worsened.</t>
  </si>
  <si>
    <t>Family Category</t>
  </si>
  <si>
    <t>Pre-Mitigation Risk Level</t>
  </si>
  <si>
    <t>Post-Mitigation Risk Level</t>
  </si>
  <si>
    <t>Mitigation Effect</t>
  </si>
  <si>
    <t>Total Rating</t>
  </si>
  <si>
    <t>Consequence</t>
  </si>
  <si>
    <t>Pre-Mitigation Score</t>
  </si>
  <si>
    <t>Total Weighted Score</t>
  </si>
  <si>
    <t>Post-Mitigation Probability</t>
  </si>
  <si>
    <t>Post-Mitigation Impact</t>
  </si>
  <si>
    <t>Average Risk Score (per Family)</t>
  </si>
  <si>
    <t xml:space="preserve">Mitigation Plan </t>
  </si>
  <si>
    <t>Objective</t>
  </si>
  <si>
    <t>Family Weight</t>
  </si>
  <si>
    <t>Average margin (per Family)</t>
  </si>
  <si>
    <t>Mitigation Effect (per Family)</t>
  </si>
  <si>
    <t>Risk Level (per Family)</t>
  </si>
  <si>
    <t>Post-Mitigation Score</t>
  </si>
  <si>
    <t>Risk Improvement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</si>
</sst>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6" formatCode="0.000"/>
    <numFmt numFmtId="167" formatCode="0.0"/>
  </numFmts>
  <fonts count="40">
    <font>
      <sz val="10"/>
      <color rgb="FF000000"/>
      <name val="Arial"/>
      <scheme val="minor"/>
    </font>
    <font>
      <sz val="12"/>
      <color rgb="FF000000"/>
      <name val="&quot;Times New Roman&quot;"/>
    </font>
    <font>
      <b/>
      <sz val="12"/>
      <color rgb="FFFFFFFF"/>
      <name val="&quot;Times New Roman&quot;"/>
    </font>
    <font>
      <b/>
      <sz val="48"/>
      <color rgb="FFFFFFFF"/>
      <name val="&quot;Times New Roman&quot;"/>
    </font>
    <font>
      <b/>
      <sz val="11"/>
      <color rgb="FF000000"/>
      <name val="&quot;Times New Roman&quot;"/>
    </font>
    <font>
      <sz val="11"/>
      <color rgb="FF000000"/>
      <name val="&quot;Times New Roman&quot;"/>
    </font>
    <font>
      <b/>
      <sz val="12"/>
      <color rgb="FF000000"/>
      <name val="&quot;Times New Roman&quot;"/>
    </font>
    <font>
      <sz val="10"/>
      <name val="Arial"/>
      <family val="2"/>
    </font>
    <font>
      <sz val="10"/>
      <color theme="1"/>
      <name val="Arial"/>
      <family val="2"/>
      <scheme val="minor"/>
    </font>
    <font>
      <b/>
      <sz val="35"/>
      <color theme="1"/>
      <name val="Times New Roman"/>
      <family val="1"/>
    </font>
    <font>
      <b/>
      <sz val="23"/>
      <color theme="1"/>
      <name val="Times New Roman"/>
      <family val="1"/>
    </font>
    <font>
      <b/>
      <sz val="48"/>
      <color rgb="FF000000"/>
      <name val="&quot;Times New Roman&quot;"/>
    </font>
    <font>
      <sz val="12"/>
      <color rgb="FF000000"/>
      <name val="&quot;Aptos Narrow&quot;"/>
    </font>
    <font>
      <sz val="12"/>
      <color rgb="FFFFFFFF"/>
      <name val="&quot;Times New Roman&quot;"/>
    </font>
    <font>
      <b/>
      <sz val="12"/>
      <color rgb="FF000000"/>
      <name val="&quot;Aptos Narrow&quot;"/>
    </font>
    <font>
      <b/>
      <sz val="40"/>
      <color theme="1"/>
      <name val="Times New Roman"/>
      <family val="1"/>
    </font>
    <font>
      <sz val="14"/>
      <color rgb="FF000000"/>
      <name val="Times New Roman"/>
      <family val="1"/>
    </font>
    <font>
      <sz val="14"/>
      <color theme="1"/>
      <name val="Times New Roman"/>
      <family val="1"/>
    </font>
    <font>
      <sz val="10"/>
      <color rgb="FF000000"/>
      <name val="Arial"/>
      <family val="2"/>
      <scheme val="minor"/>
    </font>
    <font>
      <b/>
      <sz val="18"/>
      <color rgb="FF000000"/>
      <name val="&quot;Times New Roman&quot;"/>
    </font>
    <font>
      <sz val="10"/>
      <color rgb="FF00B050"/>
      <name val="Arial"/>
      <family val="2"/>
      <scheme val="minor"/>
    </font>
    <font>
      <b/>
      <sz val="26"/>
      <color rgb="FF000000"/>
      <name val="&quot;Times New Roman&quot;"/>
    </font>
    <font>
      <sz val="20"/>
      <color rgb="FF000000"/>
      <name val="Arial"/>
      <family val="2"/>
      <scheme val="minor"/>
    </font>
    <font>
      <b/>
      <sz val="18"/>
      <color rgb="FFFFFFFF"/>
      <name val="&quot;Times New Roman&quot;"/>
    </font>
    <font>
      <b/>
      <sz val="72"/>
      <color rgb="FF002060"/>
      <name val="ADLaM Display"/>
    </font>
    <font>
      <sz val="8"/>
      <name val="Arial"/>
      <family val="2"/>
      <scheme val="minor"/>
    </font>
    <font>
      <b/>
      <sz val="12"/>
      <color rgb="FF000000"/>
      <name val="Times New Roman"/>
      <family val="1"/>
    </font>
    <font>
      <sz val="12"/>
      <color rgb="FF000000"/>
      <name val="Times New Roman"/>
      <family val="1"/>
    </font>
    <font>
      <b/>
      <sz val="12"/>
      <color theme="1"/>
      <name val="Times New Roman"/>
      <family val="1"/>
    </font>
    <font>
      <sz val="12"/>
      <color theme="1"/>
      <name val="Times New Roman"/>
      <family val="1"/>
    </font>
    <font>
      <b/>
      <sz val="16"/>
      <color rgb="FF000000"/>
      <name val="&quot;Times New Roman&quot;"/>
    </font>
    <font>
      <b/>
      <sz val="20"/>
      <color rgb="FF000000"/>
      <name val="&quot;Times New Roman&quot;"/>
    </font>
    <font>
      <b/>
      <sz val="28"/>
      <color rgb="FF000000"/>
      <name val="&quot;Times New Roman&quot;"/>
    </font>
    <font>
      <b/>
      <sz val="23"/>
      <color rgb="FF000000"/>
      <name val="&quot;Times New Roman&quot;"/>
    </font>
    <font>
      <sz val="16"/>
      <name val="Arial"/>
      <family val="2"/>
    </font>
    <font>
      <sz val="16"/>
      <color rgb="FF000000"/>
      <name val="&quot;Times New Roman&quot;"/>
    </font>
    <font>
      <sz val="20"/>
      <color rgb="FF000000"/>
      <name val="&quot;Times New Roman&quot;"/>
    </font>
    <font>
      <b/>
      <sz val="36"/>
      <color rgb="FFFFFFFF"/>
      <name val="&quot;Times New Roman&quot;"/>
    </font>
    <font>
      <sz val="36"/>
      <name val="Arial"/>
      <family val="2"/>
    </font>
    <font>
      <b/>
      <sz val="28"/>
      <color rgb="FF000000"/>
      <name val="Arial"/>
      <family val="2"/>
      <scheme val="minor"/>
    </font>
  </fonts>
  <fills count="26">
    <fill>
      <patternFill patternType="none"/>
    </fill>
    <fill>
      <patternFill patternType="gray125"/>
    </fill>
    <fill>
      <patternFill patternType="solid">
        <fgColor rgb="FF073673"/>
        <bgColor rgb="FF073673"/>
      </patternFill>
    </fill>
    <fill>
      <patternFill patternType="solid">
        <fgColor rgb="FFFFFFFF"/>
        <bgColor rgb="FFFFFFFF"/>
      </patternFill>
    </fill>
    <fill>
      <patternFill patternType="solid">
        <fgColor rgb="FFCFE2F3"/>
        <bgColor rgb="FFCFE2F3"/>
      </patternFill>
    </fill>
    <fill>
      <patternFill patternType="solid">
        <fgColor theme="0"/>
        <bgColor theme="0"/>
      </patternFill>
    </fill>
    <fill>
      <patternFill patternType="solid">
        <fgColor rgb="FFEAD1DC"/>
        <bgColor rgb="FFEAD1DC"/>
      </patternFill>
    </fill>
    <fill>
      <patternFill patternType="solid">
        <fgColor rgb="FFA6A6A6"/>
        <bgColor rgb="FFA6A6A6"/>
      </patternFill>
    </fill>
    <fill>
      <patternFill patternType="solid">
        <fgColor rgb="FF153D64"/>
        <bgColor rgb="FF153D64"/>
      </patternFill>
    </fill>
    <fill>
      <patternFill patternType="solid">
        <fgColor rgb="FFFF0000"/>
        <bgColor rgb="FFFF0000"/>
      </patternFill>
    </fill>
    <fill>
      <patternFill patternType="solid">
        <fgColor rgb="FFFFFF00"/>
        <bgColor rgb="FFFFFF00"/>
      </patternFill>
    </fill>
    <fill>
      <patternFill patternType="solid">
        <fgColor rgb="FFFFC000"/>
        <bgColor rgb="FFFFC000"/>
      </patternFill>
    </fill>
    <fill>
      <patternFill patternType="solid">
        <fgColor theme="0"/>
        <bgColor indexed="64"/>
      </patternFill>
    </fill>
    <fill>
      <patternFill patternType="solid">
        <fgColor theme="0" tint="-0.14999847407452621"/>
        <bgColor rgb="FFD9D2E9"/>
      </patternFill>
    </fill>
    <fill>
      <patternFill patternType="solid">
        <fgColor theme="0" tint="-0.14999847407452621"/>
        <bgColor indexed="64"/>
      </patternFill>
    </fill>
    <fill>
      <patternFill patternType="solid">
        <fgColor theme="9" tint="0.79998168889431442"/>
        <bgColor indexed="64"/>
      </patternFill>
    </fill>
    <fill>
      <patternFill patternType="solid">
        <fgColor theme="8"/>
        <bgColor rgb="FFFF8A00"/>
      </patternFill>
    </fill>
    <fill>
      <patternFill patternType="solid">
        <fgColor theme="8"/>
        <bgColor rgb="FFE97132"/>
      </patternFill>
    </fill>
    <fill>
      <patternFill patternType="solid">
        <fgColor theme="8"/>
        <bgColor indexed="64"/>
      </patternFill>
    </fill>
    <fill>
      <patternFill patternType="solid">
        <fgColor rgb="FFFFFF00"/>
        <bgColor indexed="64"/>
      </patternFill>
    </fill>
    <fill>
      <patternFill patternType="solid">
        <fgColor rgb="FF00B050"/>
        <bgColor indexed="64"/>
      </patternFill>
    </fill>
    <fill>
      <patternFill patternType="solid">
        <fgColor rgb="FFFF0000"/>
        <bgColor indexed="64"/>
      </patternFill>
    </fill>
    <fill>
      <patternFill patternType="solid">
        <fgColor rgb="FF00B050"/>
        <bgColor rgb="FF92D050"/>
      </patternFill>
    </fill>
    <fill>
      <patternFill patternType="solid">
        <fgColor rgb="FF00B050"/>
        <bgColor rgb="FF8ED973"/>
      </patternFill>
    </fill>
    <fill>
      <patternFill patternType="solid">
        <fgColor theme="0" tint="-0.249977111117893"/>
        <bgColor indexed="64"/>
      </patternFill>
    </fill>
    <fill>
      <patternFill patternType="solid">
        <fgColor theme="0"/>
        <bgColor rgb="FFEAD1DC"/>
      </patternFill>
    </fill>
  </fills>
  <borders count="28">
    <border>
      <left/>
      <right/>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style="thin">
        <color rgb="FF000000"/>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diagonal/>
    </border>
  </borders>
  <cellStyleXfs count="1">
    <xf numFmtId="0" fontId="0" fillId="0" borderId="0"/>
  </cellStyleXfs>
  <cellXfs count="146">
    <xf numFmtId="0" fontId="0" fillId="0" borderId="0" xfId="0"/>
    <xf numFmtId="0" fontId="1" fillId="0" borderId="0" xfId="0" applyFont="1"/>
    <xf numFmtId="0" fontId="2" fillId="2" borderId="4" xfId="0" applyFont="1" applyFill="1" applyBorder="1" applyAlignment="1">
      <alignment horizontal="center"/>
    </xf>
    <xf numFmtId="0" fontId="4" fillId="0" borderId="5" xfId="0" applyFont="1" applyBorder="1" applyAlignment="1">
      <alignment horizontal="center" vertical="center"/>
    </xf>
    <xf numFmtId="0" fontId="5" fillId="0" borderId="6" xfId="0" applyFont="1" applyBorder="1" applyAlignment="1">
      <alignment horizontal="center" vertical="center" wrapText="1"/>
    </xf>
    <xf numFmtId="0" fontId="1" fillId="0" borderId="6" xfId="0" applyFont="1" applyBorder="1" applyAlignment="1">
      <alignment horizontal="center" vertical="center" wrapText="1"/>
    </xf>
    <xf numFmtId="0" fontId="1" fillId="0" borderId="6" xfId="0" applyFont="1" applyBorder="1" applyAlignment="1">
      <alignment horizontal="center" vertical="center"/>
    </xf>
    <xf numFmtId="0" fontId="1" fillId="0" borderId="5" xfId="0" applyFont="1" applyBorder="1" applyAlignment="1">
      <alignment horizontal="center" vertical="center"/>
    </xf>
    <xf numFmtId="0" fontId="4" fillId="0" borderId="6" xfId="0" applyFont="1" applyBorder="1" applyAlignment="1">
      <alignment horizontal="center" vertical="center"/>
    </xf>
    <xf numFmtId="0" fontId="4" fillId="0" borderId="9" xfId="0" applyFont="1" applyBorder="1" applyAlignment="1">
      <alignment horizontal="center" vertical="center"/>
    </xf>
    <xf numFmtId="0" fontId="5" fillId="0" borderId="8" xfId="0" applyFont="1" applyBorder="1" applyAlignment="1">
      <alignment horizontal="center" vertical="center" wrapText="1"/>
    </xf>
    <xf numFmtId="0" fontId="1" fillId="0" borderId="8" xfId="0" applyFont="1" applyBorder="1" applyAlignment="1">
      <alignment horizontal="center" vertical="center" wrapText="1"/>
    </xf>
    <xf numFmtId="0" fontId="1" fillId="0" borderId="8" xfId="0" applyFont="1" applyBorder="1" applyAlignment="1">
      <alignment horizontal="center" vertical="center"/>
    </xf>
    <xf numFmtId="0" fontId="4" fillId="3" borderId="6" xfId="0" applyFont="1" applyFill="1" applyBorder="1" applyAlignment="1">
      <alignment horizontal="center" vertical="center"/>
    </xf>
    <xf numFmtId="0" fontId="1" fillId="3" borderId="6" xfId="0" applyFont="1" applyFill="1" applyBorder="1" applyAlignment="1">
      <alignment horizontal="center" vertical="center" wrapText="1"/>
    </xf>
    <xf numFmtId="0" fontId="8" fillId="0" borderId="0" xfId="0" applyFont="1" applyAlignment="1">
      <alignment vertical="center"/>
    </xf>
    <xf numFmtId="0" fontId="6" fillId="0" borderId="0" xfId="0" applyFont="1" applyAlignment="1">
      <alignment horizontal="center"/>
    </xf>
    <xf numFmtId="0" fontId="1" fillId="7" borderId="0" xfId="0" applyFont="1" applyFill="1"/>
    <xf numFmtId="0" fontId="1" fillId="7" borderId="0" xfId="0" applyFont="1" applyFill="1" applyAlignment="1">
      <alignment horizontal="center"/>
    </xf>
    <xf numFmtId="0" fontId="13" fillId="8" borderId="6" xfId="0" applyFont="1" applyFill="1" applyBorder="1" applyAlignment="1">
      <alignment horizontal="center"/>
    </xf>
    <xf numFmtId="0" fontId="1" fillId="9" borderId="6" xfId="0" applyFont="1" applyFill="1" applyBorder="1" applyAlignment="1">
      <alignment horizontal="center"/>
    </xf>
    <xf numFmtId="0" fontId="1" fillId="10" borderId="6" xfId="0" applyFont="1" applyFill="1" applyBorder="1" applyAlignment="1">
      <alignment horizontal="center"/>
    </xf>
    <xf numFmtId="0" fontId="1" fillId="9" borderId="6" xfId="0" applyFont="1" applyFill="1" applyBorder="1"/>
    <xf numFmtId="0" fontId="4" fillId="9" borderId="6" xfId="0" applyFont="1" applyFill="1" applyBorder="1" applyAlignment="1">
      <alignment horizontal="right"/>
    </xf>
    <xf numFmtId="0" fontId="1" fillId="11" borderId="6" xfId="0" applyFont="1" applyFill="1" applyBorder="1"/>
    <xf numFmtId="0" fontId="4" fillId="11" borderId="6" xfId="0" applyFont="1" applyFill="1" applyBorder="1" applyAlignment="1">
      <alignment horizontal="right"/>
    </xf>
    <xf numFmtId="0" fontId="8" fillId="0" borderId="6" xfId="0" applyFont="1" applyBorder="1"/>
    <xf numFmtId="10" fontId="13" fillId="8" borderId="6" xfId="0" applyNumberFormat="1" applyFont="1" applyFill="1" applyBorder="1" applyAlignment="1">
      <alignment horizontal="center"/>
    </xf>
    <xf numFmtId="0" fontId="1" fillId="10" borderId="6" xfId="0" applyFont="1" applyFill="1" applyBorder="1"/>
    <xf numFmtId="0" fontId="12" fillId="7" borderId="0" xfId="0" applyFont="1" applyFill="1"/>
    <xf numFmtId="0" fontId="12" fillId="7" borderId="0" xfId="0" applyFont="1" applyFill="1" applyAlignment="1">
      <alignment horizontal="center"/>
    </xf>
    <xf numFmtId="0" fontId="2" fillId="2" borderId="6" xfId="0" applyFont="1" applyFill="1" applyBorder="1" applyAlignment="1">
      <alignment horizontal="center"/>
    </xf>
    <xf numFmtId="0" fontId="2" fillId="2" borderId="6" xfId="0" applyFont="1" applyFill="1" applyBorder="1" applyAlignment="1">
      <alignment horizontal="center" wrapText="1"/>
    </xf>
    <xf numFmtId="0" fontId="8" fillId="0" borderId="0" xfId="0" applyFont="1" applyAlignment="1">
      <alignment horizontal="left"/>
    </xf>
    <xf numFmtId="9" fontId="19" fillId="4" borderId="6" xfId="0" applyNumberFormat="1" applyFont="1" applyFill="1" applyBorder="1" applyAlignment="1">
      <alignment horizontal="center" vertical="center"/>
    </xf>
    <xf numFmtId="0" fontId="18" fillId="0" borderId="0" xfId="0" applyFont="1"/>
    <xf numFmtId="0" fontId="15" fillId="13" borderId="0" xfId="0" applyFont="1" applyFill="1" applyAlignment="1">
      <alignment vertical="top"/>
    </xf>
    <xf numFmtId="0" fontId="0" fillId="14" borderId="0" xfId="0" applyFill="1"/>
    <xf numFmtId="0" fontId="22" fillId="14" borderId="0" xfId="0" applyFont="1" applyFill="1"/>
    <xf numFmtId="0" fontId="8" fillId="15" borderId="6" xfId="0" applyFont="1" applyFill="1" applyBorder="1" applyAlignment="1">
      <alignment horizontal="center" vertical="center"/>
    </xf>
    <xf numFmtId="0" fontId="16" fillId="15" borderId="6" xfId="0" applyFont="1" applyFill="1" applyBorder="1" applyAlignment="1">
      <alignment horizontal="left"/>
    </xf>
    <xf numFmtId="0" fontId="17" fillId="15" borderId="6" xfId="0" applyFont="1" applyFill="1" applyBorder="1" applyAlignment="1">
      <alignment horizontal="left"/>
    </xf>
    <xf numFmtId="0" fontId="1" fillId="16" borderId="6" xfId="0" applyFont="1" applyFill="1" applyBorder="1" applyAlignment="1">
      <alignment horizontal="center"/>
    </xf>
    <xf numFmtId="0" fontId="1" fillId="17" borderId="6" xfId="0" applyFont="1" applyFill="1" applyBorder="1"/>
    <xf numFmtId="0" fontId="4" fillId="17" borderId="6" xfId="0" applyFont="1" applyFill="1" applyBorder="1" applyAlignment="1">
      <alignment horizontal="right"/>
    </xf>
    <xf numFmtId="0" fontId="1" fillId="16" borderId="6" xfId="0" applyFont="1" applyFill="1" applyBorder="1"/>
    <xf numFmtId="0" fontId="23" fillId="2" borderId="1" xfId="0" applyFont="1" applyFill="1" applyBorder="1" applyAlignment="1">
      <alignment horizontal="center" vertical="center"/>
    </xf>
    <xf numFmtId="0" fontId="23" fillId="2" borderId="1" xfId="0" applyFont="1" applyFill="1" applyBorder="1" applyAlignment="1">
      <alignment horizontal="center" vertical="center" wrapText="1"/>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0" fontId="23" fillId="2" borderId="4" xfId="0" applyFont="1" applyFill="1" applyBorder="1" applyAlignment="1">
      <alignment horizontal="center" vertical="center"/>
    </xf>
    <xf numFmtId="0" fontId="1" fillId="23" borderId="6" xfId="0" applyFont="1" applyFill="1" applyBorder="1"/>
    <xf numFmtId="0" fontId="4" fillId="23" borderId="6" xfId="0" applyFont="1" applyFill="1" applyBorder="1" applyAlignment="1">
      <alignment horizontal="right"/>
    </xf>
    <xf numFmtId="0" fontId="1" fillId="23" borderId="6" xfId="0" applyFont="1" applyFill="1" applyBorder="1" applyAlignment="1">
      <alignment horizontal="center"/>
    </xf>
    <xf numFmtId="0" fontId="12" fillId="22" borderId="6" xfId="0" applyFont="1" applyFill="1" applyBorder="1"/>
    <xf numFmtId="0" fontId="6" fillId="9" borderId="6" xfId="0" applyFont="1" applyFill="1" applyBorder="1" applyAlignment="1">
      <alignment horizontal="left"/>
    </xf>
    <xf numFmtId="0" fontId="6" fillId="16" borderId="6" xfId="0" applyFont="1" applyFill="1" applyBorder="1" applyAlignment="1">
      <alignment horizontal="left"/>
    </xf>
    <xf numFmtId="0" fontId="6" fillId="10" borderId="6" xfId="0" applyFont="1" applyFill="1" applyBorder="1" applyAlignment="1">
      <alignment horizontal="left"/>
    </xf>
    <xf numFmtId="0" fontId="14" fillId="22" borderId="6" xfId="0" applyFont="1" applyFill="1" applyBorder="1" applyAlignment="1">
      <alignment horizontal="left"/>
    </xf>
    <xf numFmtId="0" fontId="6" fillId="0" borderId="10" xfId="0" applyFont="1" applyBorder="1" applyAlignment="1">
      <alignment horizontal="center" vertical="center"/>
    </xf>
    <xf numFmtId="0" fontId="6" fillId="0" borderId="0" xfId="0" applyFont="1" applyAlignment="1">
      <alignment vertical="center"/>
    </xf>
    <xf numFmtId="0" fontId="9" fillId="25" borderId="0" xfId="0" applyFont="1" applyFill="1" applyAlignment="1">
      <alignment vertical="center"/>
    </xf>
    <xf numFmtId="0" fontId="0" fillId="12" borderId="0" xfId="0" applyFill="1"/>
    <xf numFmtId="9" fontId="31" fillId="4" borderId="6" xfId="0" applyNumberFormat="1" applyFont="1" applyFill="1" applyBorder="1" applyAlignment="1">
      <alignment horizontal="center" vertical="center"/>
    </xf>
    <xf numFmtId="0" fontId="30" fillId="0" borderId="5" xfId="0" applyFont="1" applyBorder="1" applyAlignment="1">
      <alignment horizontal="center" vertical="center"/>
    </xf>
    <xf numFmtId="0" fontId="30" fillId="0" borderId="6" xfId="0" applyFont="1" applyBorder="1" applyAlignment="1">
      <alignment horizontal="center" vertical="center"/>
    </xf>
    <xf numFmtId="0" fontId="30" fillId="0" borderId="12" xfId="0" applyFont="1" applyBorder="1" applyAlignment="1">
      <alignment horizontal="center" vertical="center"/>
    </xf>
    <xf numFmtId="0" fontId="30" fillId="0" borderId="10" xfId="0" applyFont="1" applyBorder="1" applyAlignment="1">
      <alignment horizontal="center" vertical="center"/>
    </xf>
    <xf numFmtId="0" fontId="37" fillId="2" borderId="24" xfId="0" applyFont="1" applyFill="1" applyBorder="1" applyAlignment="1">
      <alignment horizontal="center" vertical="center"/>
    </xf>
    <xf numFmtId="0" fontId="37" fillId="2" borderId="25" xfId="0" applyFont="1" applyFill="1" applyBorder="1" applyAlignment="1">
      <alignment horizontal="center" vertical="center"/>
    </xf>
    <xf numFmtId="0" fontId="37" fillId="2" borderId="26" xfId="0" applyFont="1" applyFill="1" applyBorder="1" applyAlignment="1">
      <alignment horizontal="center" vertical="center"/>
    </xf>
    <xf numFmtId="0" fontId="13" fillId="8" borderId="10" xfId="0" applyFont="1" applyFill="1" applyBorder="1" applyAlignment="1">
      <alignment horizontal="center"/>
    </xf>
    <xf numFmtId="0" fontId="26" fillId="20" borderId="10" xfId="0" applyFont="1" applyFill="1" applyBorder="1" applyAlignment="1">
      <alignment horizontal="left" vertical="center" wrapText="1"/>
    </xf>
    <xf numFmtId="0" fontId="26" fillId="20" borderId="10" xfId="0" applyFont="1" applyFill="1" applyBorder="1" applyAlignment="1">
      <alignment vertical="center" wrapText="1"/>
    </xf>
    <xf numFmtId="0" fontId="27" fillId="20" borderId="10" xfId="0" applyFont="1" applyFill="1" applyBorder="1" applyAlignment="1">
      <alignment vertical="center" wrapText="1"/>
    </xf>
    <xf numFmtId="0" fontId="26" fillId="19" borderId="10" xfId="0" applyFont="1" applyFill="1" applyBorder="1" applyAlignment="1">
      <alignment horizontal="left" vertical="center" wrapText="1"/>
    </xf>
    <xf numFmtId="0" fontId="26" fillId="19" borderId="10" xfId="0" applyFont="1" applyFill="1" applyBorder="1" applyAlignment="1">
      <alignment vertical="center" wrapText="1"/>
    </xf>
    <xf numFmtId="0" fontId="27" fillId="19" borderId="10" xfId="0" applyFont="1" applyFill="1" applyBorder="1" applyAlignment="1">
      <alignment vertical="center" wrapText="1"/>
    </xf>
    <xf numFmtId="0" fontId="26" fillId="18" borderId="10" xfId="0" applyFont="1" applyFill="1" applyBorder="1" applyAlignment="1">
      <alignment horizontal="left" vertical="center" wrapText="1"/>
    </xf>
    <xf numFmtId="0" fontId="26" fillId="18" borderId="10" xfId="0" applyFont="1" applyFill="1" applyBorder="1" applyAlignment="1">
      <alignment vertical="center" wrapText="1"/>
    </xf>
    <xf numFmtId="0" fontId="27" fillId="18" borderId="10" xfId="0" applyFont="1" applyFill="1" applyBorder="1" applyAlignment="1">
      <alignment vertical="center" wrapText="1"/>
    </xf>
    <xf numFmtId="0" fontId="28" fillId="24" borderId="10" xfId="0" applyFont="1" applyFill="1" applyBorder="1" applyAlignment="1">
      <alignment horizontal="left" vertical="center" wrapText="1"/>
    </xf>
    <xf numFmtId="0" fontId="28" fillId="24" borderId="10" xfId="0" applyFont="1" applyFill="1" applyBorder="1" applyAlignment="1">
      <alignment vertical="center" wrapText="1"/>
    </xf>
    <xf numFmtId="0" fontId="29" fillId="24" borderId="10" xfId="0" applyFont="1" applyFill="1" applyBorder="1" applyAlignment="1">
      <alignment vertical="center" wrapText="1"/>
    </xf>
    <xf numFmtId="0" fontId="26" fillId="21" borderId="10" xfId="0" applyFont="1" applyFill="1" applyBorder="1" applyAlignment="1">
      <alignment horizontal="left" vertical="center" wrapText="1"/>
    </xf>
    <xf numFmtId="0" fontId="26" fillId="21" borderId="10" xfId="0" applyFont="1" applyFill="1" applyBorder="1" applyAlignment="1">
      <alignment vertical="center" wrapText="1"/>
    </xf>
    <xf numFmtId="0" fontId="27" fillId="21" borderId="10" xfId="0" applyFont="1" applyFill="1" applyBorder="1" applyAlignment="1">
      <alignment vertical="center" wrapText="1"/>
    </xf>
    <xf numFmtId="10" fontId="30" fillId="0" borderId="2" xfId="0" applyNumberFormat="1" applyFont="1" applyBorder="1" applyAlignment="1">
      <alignment horizontal="center" vertical="center"/>
    </xf>
    <xf numFmtId="0" fontId="34" fillId="0" borderId="7" xfId="0" applyFont="1" applyBorder="1" applyAlignment="1">
      <alignment horizontal="center" vertical="center"/>
    </xf>
    <xf numFmtId="0" fontId="34" fillId="0" borderId="8" xfId="0" applyFont="1" applyBorder="1" applyAlignment="1">
      <alignment horizontal="center" vertical="center"/>
    </xf>
    <xf numFmtId="0" fontId="30" fillId="0" borderId="3" xfId="0" applyFont="1" applyBorder="1" applyAlignment="1">
      <alignment horizontal="center" vertical="center"/>
    </xf>
    <xf numFmtId="0" fontId="34" fillId="0" borderId="4" xfId="0" applyFont="1" applyBorder="1" applyAlignment="1">
      <alignment horizontal="center" vertical="center"/>
    </xf>
    <xf numFmtId="0" fontId="34" fillId="0" borderId="9" xfId="0" applyFont="1" applyBorder="1" applyAlignment="1">
      <alignment horizontal="center" vertical="center"/>
    </xf>
    <xf numFmtId="0" fontId="3" fillId="2" borderId="7" xfId="0" applyFont="1" applyFill="1" applyBorder="1" applyAlignment="1">
      <alignment horizontal="center" vertical="center"/>
    </xf>
    <xf numFmtId="0" fontId="7" fillId="0" borderId="7" xfId="0" applyFont="1" applyBorder="1"/>
    <xf numFmtId="0" fontId="7" fillId="0" borderId="8" xfId="0" applyFont="1" applyBorder="1"/>
    <xf numFmtId="0" fontId="30" fillId="0" borderId="7" xfId="0" applyFont="1" applyBorder="1" applyAlignment="1">
      <alignment horizontal="center" vertical="center"/>
    </xf>
    <xf numFmtId="0" fontId="10" fillId="0" borderId="10" xfId="0" applyFont="1" applyBorder="1" applyAlignment="1">
      <alignment horizontal="center" vertical="center"/>
    </xf>
    <xf numFmtId="0" fontId="7" fillId="0" borderId="10" xfId="0" applyFont="1" applyBorder="1"/>
    <xf numFmtId="0" fontId="9" fillId="6" borderId="10" xfId="0" applyFont="1" applyFill="1" applyBorder="1" applyAlignment="1">
      <alignment horizontal="center" vertical="center"/>
    </xf>
    <xf numFmtId="0" fontId="0" fillId="0" borderId="10" xfId="0" applyBorder="1"/>
    <xf numFmtId="0" fontId="9" fillId="25" borderId="0" xfId="0" applyFont="1" applyFill="1" applyAlignment="1">
      <alignment horizontal="center" vertical="center"/>
    </xf>
    <xf numFmtId="0" fontId="33" fillId="0" borderId="10" xfId="0" applyFont="1" applyBorder="1" applyAlignment="1">
      <alignment horizontal="center" vertical="center"/>
    </xf>
    <xf numFmtId="0" fontId="11" fillId="7" borderId="0" xfId="0" applyFont="1" applyFill="1" applyAlignment="1">
      <alignment horizontal="center"/>
    </xf>
    <xf numFmtId="0" fontId="0" fillId="0" borderId="0" xfId="0"/>
    <xf numFmtId="0" fontId="3" fillId="2" borderId="2" xfId="0" applyFont="1" applyFill="1" applyBorder="1" applyAlignment="1">
      <alignment horizontal="center" vertical="center"/>
    </xf>
    <xf numFmtId="0" fontId="30" fillId="0" borderId="2" xfId="0" applyFont="1" applyBorder="1" applyAlignment="1">
      <alignment horizontal="center" vertical="center"/>
    </xf>
    <xf numFmtId="0" fontId="30" fillId="0" borderId="8" xfId="0" applyFont="1" applyBorder="1" applyAlignment="1">
      <alignment horizontal="center" vertical="center"/>
    </xf>
    <xf numFmtId="0" fontId="35" fillId="0" borderId="2" xfId="0" applyFont="1" applyBorder="1" applyAlignment="1">
      <alignment horizontal="center" vertical="center"/>
    </xf>
    <xf numFmtId="0" fontId="35" fillId="0" borderId="7" xfId="0" applyFont="1" applyBorder="1" applyAlignment="1">
      <alignment horizontal="center" vertical="center"/>
    </xf>
    <xf numFmtId="0" fontId="35" fillId="0" borderId="8" xfId="0" applyFont="1" applyBorder="1" applyAlignment="1">
      <alignment horizontal="center" vertical="center"/>
    </xf>
    <xf numFmtId="0" fontId="36" fillId="0" borderId="2" xfId="0" applyFont="1" applyBorder="1" applyAlignment="1">
      <alignment horizontal="center" vertical="center"/>
    </xf>
    <xf numFmtId="0" fontId="36" fillId="0" borderId="7" xfId="0" applyFont="1" applyBorder="1" applyAlignment="1">
      <alignment horizontal="center" vertical="center"/>
    </xf>
    <xf numFmtId="0" fontId="36" fillId="0" borderId="8" xfId="0" applyFont="1" applyBorder="1" applyAlignment="1">
      <alignment horizontal="center" vertical="center"/>
    </xf>
    <xf numFmtId="9" fontId="19" fillId="4" borderId="11" xfId="0" applyNumberFormat="1" applyFont="1" applyFill="1" applyBorder="1" applyAlignment="1">
      <alignment horizontal="center" vertical="center"/>
    </xf>
    <xf numFmtId="9" fontId="19" fillId="4" borderId="12" xfId="0" applyNumberFormat="1" applyFont="1" applyFill="1" applyBorder="1" applyAlignment="1">
      <alignment horizontal="center" vertical="center"/>
    </xf>
    <xf numFmtId="9" fontId="19" fillId="4" borderId="5" xfId="0" applyNumberFormat="1" applyFont="1" applyFill="1" applyBorder="1" applyAlignment="1">
      <alignment horizontal="center" vertical="center"/>
    </xf>
    <xf numFmtId="0" fontId="31" fillId="0" borderId="13" xfId="0" applyFont="1" applyBorder="1" applyAlignment="1">
      <alignment horizontal="center" vertical="center"/>
    </xf>
    <xf numFmtId="0" fontId="31" fillId="0" borderId="14" xfId="0" applyFont="1" applyBorder="1" applyAlignment="1">
      <alignment horizontal="center" vertical="center"/>
    </xf>
    <xf numFmtId="0" fontId="31" fillId="0" borderId="15" xfId="0" applyFont="1" applyBorder="1" applyAlignment="1">
      <alignment horizontal="center" vertical="center"/>
    </xf>
    <xf numFmtId="0" fontId="31" fillId="0" borderId="10" xfId="0" applyFont="1" applyBorder="1" applyAlignment="1">
      <alignment horizontal="center" vertical="center"/>
    </xf>
    <xf numFmtId="0" fontId="37" fillId="2" borderId="16" xfId="0" applyFont="1" applyFill="1" applyBorder="1" applyAlignment="1">
      <alignment horizontal="center" vertical="center"/>
    </xf>
    <xf numFmtId="0" fontId="38" fillId="0" borderId="19" xfId="0" applyFont="1" applyBorder="1"/>
    <xf numFmtId="0" fontId="38" fillId="0" borderId="21" xfId="0" applyFont="1" applyBorder="1"/>
    <xf numFmtId="0" fontId="39" fillId="0" borderId="17" xfId="0" applyFont="1" applyBorder="1" applyAlignment="1">
      <alignment horizontal="center" vertical="center"/>
    </xf>
    <xf numFmtId="0" fontId="39" fillId="0" borderId="10" xfId="0" applyFont="1" applyBorder="1" applyAlignment="1">
      <alignment horizontal="center" vertical="center"/>
    </xf>
    <xf numFmtId="0" fontId="39" fillId="0" borderId="22" xfId="0" applyFont="1" applyBorder="1" applyAlignment="1">
      <alignment horizontal="center" vertical="center"/>
    </xf>
    <xf numFmtId="0" fontId="39" fillId="0" borderId="18" xfId="0" applyFont="1" applyBorder="1" applyAlignment="1">
      <alignment horizontal="center" vertical="center"/>
    </xf>
    <xf numFmtId="0" fontId="39" fillId="0" borderId="20" xfId="0" applyFont="1" applyBorder="1" applyAlignment="1">
      <alignment horizontal="center" vertical="center"/>
    </xf>
    <xf numFmtId="0" fontId="39" fillId="0" borderId="23" xfId="0" applyFont="1" applyBorder="1" applyAlignment="1">
      <alignment horizontal="center" vertical="center"/>
    </xf>
    <xf numFmtId="0" fontId="32" fillId="0" borderId="17" xfId="0" applyFont="1" applyBorder="1" applyAlignment="1">
      <alignment horizontal="center" vertical="center"/>
    </xf>
    <xf numFmtId="0" fontId="32" fillId="0" borderId="10" xfId="0" applyFont="1" applyBorder="1" applyAlignment="1">
      <alignment horizontal="center" vertical="center"/>
    </xf>
    <xf numFmtId="0" fontId="32" fillId="0" borderId="22" xfId="0" applyFont="1" applyBorder="1" applyAlignment="1">
      <alignment horizontal="center" vertical="center"/>
    </xf>
    <xf numFmtId="0" fontId="24" fillId="14" borderId="0" xfId="0" applyFont="1" applyFill="1" applyAlignment="1">
      <alignment horizontal="center" vertical="center"/>
    </xf>
    <xf numFmtId="0" fontId="39" fillId="12" borderId="18" xfId="0" applyFont="1" applyFill="1" applyBorder="1" applyAlignment="1">
      <alignment horizontal="center" vertical="center"/>
    </xf>
    <xf numFmtId="0" fontId="39" fillId="12" borderId="20" xfId="0" applyFont="1" applyFill="1" applyBorder="1" applyAlignment="1">
      <alignment horizontal="center" vertical="center"/>
    </xf>
    <xf numFmtId="0" fontId="39" fillId="12" borderId="23" xfId="0" applyFont="1" applyFill="1" applyBorder="1" applyAlignment="1">
      <alignment horizontal="center" vertical="center"/>
    </xf>
    <xf numFmtId="0" fontId="24" fillId="0" borderId="0" xfId="0" applyFont="1" applyAlignment="1">
      <alignment horizontal="center"/>
    </xf>
    <xf numFmtId="0" fontId="22" fillId="0" borderId="0" xfId="0" applyFont="1" applyAlignment="1">
      <alignment horizontal="center"/>
    </xf>
    <xf numFmtId="0" fontId="9" fillId="25" borderId="27" xfId="0" applyFont="1" applyFill="1" applyBorder="1" applyAlignment="1">
      <alignment horizontal="center" vertical="center"/>
    </xf>
    <xf numFmtId="0" fontId="0" fillId="0" borderId="27" xfId="0" applyBorder="1" applyAlignment="1">
      <alignment horizontal="center"/>
    </xf>
    <xf numFmtId="167" fontId="30" fillId="0" borderId="13" xfId="0" applyNumberFormat="1" applyFont="1" applyBorder="1" applyAlignment="1">
      <alignment horizontal="center" vertical="center"/>
    </xf>
    <xf numFmtId="167" fontId="30" fillId="0" borderId="14" xfId="0" applyNumberFormat="1" applyFont="1" applyBorder="1" applyAlignment="1">
      <alignment horizontal="center" vertical="center"/>
    </xf>
    <xf numFmtId="167" fontId="30" fillId="0" borderId="15" xfId="0" applyNumberFormat="1" applyFont="1" applyBorder="1" applyAlignment="1">
      <alignment horizontal="center" vertical="center"/>
    </xf>
    <xf numFmtId="166" fontId="21" fillId="5" borderId="10" xfId="0" applyNumberFormat="1" applyFont="1" applyFill="1" applyBorder="1" applyAlignment="1">
      <alignment horizontal="center" vertical="center"/>
    </xf>
    <xf numFmtId="166" fontId="21" fillId="5" borderId="8" xfId="0" applyNumberFormat="1" applyFont="1" applyFill="1" applyBorder="1" applyAlignment="1">
      <alignment horizontal="center" vertical="center"/>
    </xf>
  </cellXfs>
  <cellStyles count="1">
    <cellStyle name="Normal" xfId="0" builtinId="0"/>
  </cellStyles>
  <dxfs count="159">
    <dxf>
      <fill>
        <patternFill>
          <bgColor rgb="FF00B050"/>
        </patternFill>
      </fill>
    </dxf>
    <dxf>
      <fill>
        <patternFill>
          <bgColor rgb="FFFFFF00"/>
        </patternFill>
      </fill>
    </dxf>
    <dxf>
      <fill>
        <patternFill>
          <bgColor theme="8"/>
        </patternFill>
      </fill>
    </dxf>
    <dxf>
      <fill>
        <patternFill>
          <bgColor theme="0" tint="-0.24994659260841701"/>
        </patternFill>
      </fill>
    </dxf>
    <dxf>
      <fill>
        <patternFill>
          <bgColor rgb="FFFF0000"/>
        </patternFill>
      </fill>
    </dxf>
    <dxf>
      <fill>
        <patternFill>
          <bgColor rgb="FF00B050"/>
        </patternFill>
      </fill>
    </dxf>
    <dxf>
      <fill>
        <patternFill>
          <bgColor rgb="FFFFFF00"/>
        </patternFill>
      </fill>
    </dxf>
    <dxf>
      <fill>
        <patternFill>
          <bgColor theme="8"/>
        </patternFill>
      </fill>
    </dxf>
    <dxf>
      <fill>
        <patternFill>
          <bgColor theme="0" tint="-0.24994659260841701"/>
        </patternFill>
      </fill>
    </dxf>
    <dxf>
      <fill>
        <patternFill>
          <bgColor rgb="FFFF0000"/>
        </patternFill>
      </fill>
    </dxf>
    <dxf>
      <fill>
        <patternFill>
          <bgColor rgb="FF00B050"/>
        </patternFill>
      </fill>
    </dxf>
    <dxf>
      <fill>
        <patternFill>
          <bgColor rgb="FFFFFF00"/>
        </patternFill>
      </fill>
    </dxf>
    <dxf>
      <fill>
        <patternFill>
          <bgColor theme="8"/>
        </patternFill>
      </fill>
    </dxf>
    <dxf>
      <fill>
        <patternFill>
          <bgColor theme="0" tint="-0.24994659260841701"/>
        </patternFill>
      </fill>
    </dxf>
    <dxf>
      <fill>
        <patternFill>
          <bgColor rgb="FFFF0000"/>
        </patternFill>
      </fill>
    </dxf>
    <dxf>
      <fill>
        <patternFill>
          <bgColor rgb="FF00B050"/>
        </patternFill>
      </fill>
    </dxf>
    <dxf>
      <fill>
        <patternFill>
          <bgColor rgb="FFFFFF00"/>
        </patternFill>
      </fill>
    </dxf>
    <dxf>
      <fill>
        <patternFill>
          <bgColor theme="8"/>
        </patternFill>
      </fill>
    </dxf>
    <dxf>
      <fill>
        <patternFill>
          <bgColor theme="0" tint="-0.24994659260841701"/>
        </patternFill>
      </fill>
    </dxf>
    <dxf>
      <fill>
        <patternFill>
          <bgColor rgb="FFFF0000"/>
        </patternFill>
      </fill>
    </dxf>
    <dxf>
      <fill>
        <patternFill>
          <bgColor rgb="FF00B050"/>
        </patternFill>
      </fill>
    </dxf>
    <dxf>
      <fill>
        <patternFill>
          <bgColor rgb="FFFFFF00"/>
        </patternFill>
      </fill>
    </dxf>
    <dxf>
      <fill>
        <patternFill>
          <bgColor theme="8"/>
        </patternFill>
      </fill>
    </dxf>
    <dxf>
      <fill>
        <patternFill>
          <bgColor theme="0" tint="-0.24994659260841701"/>
        </patternFill>
      </fill>
    </dxf>
    <dxf>
      <fill>
        <patternFill>
          <bgColor rgb="FFFF0000"/>
        </patternFill>
      </fill>
    </dxf>
    <dxf>
      <fill>
        <patternFill>
          <bgColor rgb="FF00B050"/>
        </patternFill>
      </fill>
    </dxf>
    <dxf>
      <fill>
        <patternFill patternType="solid">
          <bgColor theme="8"/>
        </patternFill>
      </fill>
    </dxf>
    <dxf>
      <fill>
        <patternFill>
          <bgColor rgb="FFFF0000"/>
        </patternFill>
      </fill>
    </dxf>
    <dxf>
      <fill>
        <patternFill>
          <bgColor theme="8"/>
        </patternFill>
      </fill>
    </dxf>
    <dxf>
      <fill>
        <patternFill>
          <bgColor rgb="FFFFFF00"/>
        </patternFill>
      </fill>
    </dxf>
    <dxf>
      <fill>
        <patternFill>
          <bgColor rgb="FF00B050"/>
        </patternFill>
      </fill>
    </dxf>
    <dxf>
      <fill>
        <patternFill>
          <bgColor rgb="FF00B050"/>
        </patternFill>
      </fill>
    </dxf>
    <dxf>
      <fill>
        <patternFill>
          <bgColor rgb="FFFFFF00"/>
        </patternFill>
      </fill>
    </dxf>
    <dxf>
      <fill>
        <patternFill>
          <bgColor theme="8"/>
        </patternFill>
      </fill>
    </dxf>
    <dxf>
      <fill>
        <patternFill>
          <bgColor theme="0" tint="-0.24994659260841701"/>
        </patternFill>
      </fill>
    </dxf>
    <dxf>
      <fill>
        <patternFill>
          <bgColor rgb="FFFF0000"/>
        </patternFill>
      </fill>
    </dxf>
    <dxf>
      <fill>
        <patternFill>
          <bgColor rgb="FF00B050"/>
        </patternFill>
      </fill>
    </dxf>
    <dxf>
      <fill>
        <patternFill>
          <bgColor rgb="FFFFFF00"/>
        </patternFill>
      </fill>
    </dxf>
    <dxf>
      <fill>
        <patternFill>
          <bgColor theme="8"/>
        </patternFill>
      </fill>
    </dxf>
    <dxf>
      <fill>
        <patternFill>
          <bgColor theme="0" tint="-0.24994659260841701"/>
        </patternFill>
      </fill>
    </dxf>
    <dxf>
      <fill>
        <patternFill>
          <bgColor rgb="FFFF0000"/>
        </patternFill>
      </fill>
    </dxf>
    <dxf>
      <fill>
        <patternFill>
          <bgColor rgb="FF00B050"/>
        </patternFill>
      </fill>
    </dxf>
    <dxf>
      <fill>
        <patternFill>
          <bgColor rgb="FFFFFF00"/>
        </patternFill>
      </fill>
    </dxf>
    <dxf>
      <fill>
        <patternFill>
          <bgColor theme="8"/>
        </patternFill>
      </fill>
    </dxf>
    <dxf>
      <fill>
        <patternFill>
          <bgColor theme="0" tint="-0.24994659260841701"/>
        </patternFill>
      </fill>
    </dxf>
    <dxf>
      <fill>
        <patternFill>
          <bgColor rgb="FFFF0000"/>
        </patternFill>
      </fill>
    </dxf>
    <dxf>
      <fill>
        <patternFill>
          <bgColor rgb="FFFF0000"/>
        </patternFill>
      </fill>
    </dxf>
    <dxf>
      <fill>
        <patternFill>
          <bgColor theme="8"/>
        </patternFill>
      </fill>
    </dxf>
    <dxf>
      <fill>
        <patternFill>
          <bgColor rgb="FFFFFF00"/>
        </patternFill>
      </fill>
    </dxf>
    <dxf>
      <fill>
        <patternFill>
          <bgColor rgb="FF00B050"/>
        </patternFill>
      </fill>
    </dxf>
    <dxf>
      <fill>
        <patternFill>
          <bgColor rgb="FFFF0000"/>
        </patternFill>
      </fill>
    </dxf>
    <dxf>
      <fill>
        <patternFill>
          <bgColor theme="8"/>
        </patternFill>
      </fill>
    </dxf>
    <dxf>
      <fill>
        <patternFill>
          <bgColor rgb="FFFFFF00"/>
        </patternFill>
      </fill>
    </dxf>
    <dxf>
      <fill>
        <patternFill>
          <bgColor rgb="FF00B050"/>
        </patternFill>
      </fill>
    </dxf>
    <dxf>
      <fill>
        <patternFill>
          <bgColor rgb="FFFF0000"/>
        </patternFill>
      </fill>
    </dxf>
    <dxf>
      <fill>
        <patternFill>
          <bgColor theme="8"/>
        </patternFill>
      </fill>
    </dxf>
    <dxf>
      <fill>
        <patternFill>
          <bgColor rgb="FFFFFF00"/>
        </patternFill>
      </fill>
    </dxf>
    <dxf>
      <fill>
        <patternFill>
          <bgColor rgb="FF00B050"/>
        </patternFill>
      </fill>
    </dxf>
    <dxf>
      <fill>
        <patternFill>
          <bgColor rgb="FFFF0000"/>
        </patternFill>
      </fill>
    </dxf>
    <dxf>
      <fill>
        <patternFill>
          <bgColor theme="8"/>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patternType="solid">
          <bgColor theme="8"/>
        </patternFill>
      </fill>
    </dxf>
    <dxf>
      <fill>
        <patternFill>
          <bgColor rgb="FFFF0000"/>
        </patternFill>
      </fill>
    </dxf>
    <dxf>
      <fill>
        <patternFill>
          <bgColor theme="8"/>
        </patternFill>
      </fill>
    </dxf>
    <dxf>
      <fill>
        <patternFill>
          <bgColor rgb="FFFFFF00"/>
        </patternFill>
      </fill>
    </dxf>
    <dxf>
      <fill>
        <patternFill>
          <bgColor rgb="FF00B050"/>
        </patternFill>
      </fill>
    </dxf>
    <dxf>
      <fill>
        <patternFill>
          <bgColor rgb="FF00B050"/>
        </patternFill>
      </fill>
    </dxf>
    <dxf>
      <fill>
        <patternFill>
          <bgColor rgb="FFFFFF00"/>
        </patternFill>
      </fill>
    </dxf>
    <dxf>
      <fill>
        <patternFill>
          <bgColor theme="8"/>
        </patternFill>
      </fill>
    </dxf>
    <dxf>
      <fill>
        <patternFill>
          <bgColor theme="0" tint="-0.24994659260841701"/>
        </patternFill>
      </fill>
    </dxf>
    <dxf>
      <fill>
        <patternFill>
          <bgColor rgb="FFFF0000"/>
        </patternFill>
      </fill>
    </dxf>
    <dxf>
      <fill>
        <patternFill>
          <bgColor rgb="FF00B050"/>
        </patternFill>
      </fill>
    </dxf>
    <dxf>
      <fill>
        <patternFill>
          <bgColor rgb="FFFFFF00"/>
        </patternFill>
      </fill>
    </dxf>
    <dxf>
      <fill>
        <patternFill>
          <bgColor theme="8"/>
        </patternFill>
      </fill>
    </dxf>
    <dxf>
      <fill>
        <patternFill>
          <bgColor theme="0" tint="-0.24994659260841701"/>
        </patternFill>
      </fill>
    </dxf>
    <dxf>
      <fill>
        <patternFill>
          <bgColor rgb="FFFF0000"/>
        </patternFill>
      </fill>
    </dxf>
    <dxf>
      <fill>
        <patternFill>
          <bgColor rgb="FF00B050"/>
        </patternFill>
      </fill>
    </dxf>
    <dxf>
      <fill>
        <patternFill>
          <bgColor rgb="FFFFFF00"/>
        </patternFill>
      </fill>
    </dxf>
    <dxf>
      <fill>
        <patternFill>
          <bgColor theme="8"/>
        </patternFill>
      </fill>
    </dxf>
    <dxf>
      <fill>
        <patternFill>
          <bgColor theme="0" tint="-0.24994659260841701"/>
        </patternFill>
      </fill>
    </dxf>
    <dxf>
      <fill>
        <patternFill>
          <bgColor rgb="FFFF0000"/>
        </patternFill>
      </fill>
    </dxf>
    <dxf>
      <fill>
        <patternFill>
          <bgColor rgb="FFFF0000"/>
        </patternFill>
      </fill>
    </dxf>
    <dxf>
      <fill>
        <patternFill>
          <bgColor theme="8"/>
        </patternFill>
      </fill>
    </dxf>
    <dxf>
      <fill>
        <patternFill>
          <bgColor rgb="FFFFFF00"/>
        </patternFill>
      </fill>
    </dxf>
    <dxf>
      <fill>
        <patternFill>
          <bgColor rgb="FFFF0000"/>
        </patternFill>
      </fill>
    </dxf>
    <dxf>
      <fill>
        <patternFill>
          <bgColor theme="8"/>
        </patternFill>
      </fill>
    </dxf>
    <dxf>
      <fill>
        <patternFill>
          <bgColor rgb="FFFFFF00"/>
        </patternFill>
      </fill>
    </dxf>
    <dxf>
      <fill>
        <patternFill>
          <bgColor rgb="FF00B050"/>
        </patternFill>
      </fill>
    </dxf>
    <dxf>
      <fill>
        <patternFill>
          <bgColor rgb="FFFF0000"/>
        </patternFill>
      </fill>
    </dxf>
    <dxf>
      <fill>
        <patternFill>
          <bgColor theme="8"/>
        </patternFill>
      </fill>
    </dxf>
    <dxf>
      <fill>
        <patternFill>
          <bgColor rgb="FFFFFF00"/>
        </patternFill>
      </fill>
    </dxf>
    <dxf>
      <fill>
        <patternFill>
          <bgColor rgb="FF00B050"/>
        </patternFill>
      </fill>
    </dxf>
    <dxf>
      <fill>
        <patternFill>
          <bgColor rgb="FFFF0000"/>
        </patternFill>
      </fill>
    </dxf>
    <dxf>
      <fill>
        <patternFill>
          <bgColor theme="8"/>
        </patternFill>
      </fill>
    </dxf>
    <dxf>
      <fill>
        <patternFill>
          <bgColor rgb="FFFFFF00"/>
        </patternFill>
      </fill>
    </dxf>
    <dxf>
      <fill>
        <patternFill>
          <bgColor rgb="FF00B050"/>
        </patternFill>
      </fill>
    </dxf>
    <dxf>
      <fill>
        <patternFill>
          <bgColor rgb="FFFF0000"/>
        </patternFill>
      </fill>
    </dxf>
    <dxf>
      <fill>
        <patternFill>
          <bgColor theme="8"/>
        </patternFill>
      </fill>
    </dxf>
    <dxf>
      <fill>
        <patternFill>
          <bgColor rgb="FFFFFF00"/>
        </patternFill>
      </fill>
    </dxf>
    <dxf>
      <fill>
        <patternFill>
          <bgColor rgb="FF00B050"/>
        </patternFill>
      </fill>
    </dxf>
    <dxf>
      <fill>
        <patternFill>
          <bgColor rgb="FFFF0000"/>
        </patternFill>
      </fill>
    </dxf>
    <dxf>
      <fill>
        <patternFill>
          <bgColor theme="8"/>
        </patternFill>
      </fill>
    </dxf>
    <dxf>
      <fill>
        <patternFill>
          <bgColor rgb="FFFFFF00"/>
        </patternFill>
      </fill>
    </dxf>
    <dxf>
      <fill>
        <patternFill>
          <bgColor rgb="FF00B050"/>
        </patternFill>
      </fill>
    </dxf>
    <dxf>
      <fill>
        <patternFill>
          <bgColor rgb="FFFF0000"/>
        </patternFill>
      </fill>
    </dxf>
    <dxf>
      <fill>
        <patternFill>
          <bgColor theme="8"/>
        </patternFill>
      </fill>
    </dxf>
    <dxf>
      <fill>
        <patternFill>
          <bgColor rgb="FFFFFF00"/>
        </patternFill>
      </fill>
    </dxf>
    <dxf>
      <fill>
        <patternFill>
          <bgColor rgb="FF00B050"/>
        </patternFill>
      </fill>
    </dxf>
    <dxf>
      <fill>
        <patternFill patternType="solid">
          <fgColor rgb="FF92D050"/>
          <bgColor rgb="FF00B050"/>
        </patternFill>
      </fill>
    </dxf>
    <dxf>
      <fill>
        <patternFill patternType="solid">
          <fgColor rgb="FFFF8A00"/>
          <bgColor theme="8"/>
        </patternFill>
      </fill>
    </dxf>
    <dxf>
      <fill>
        <patternFill patternType="solid">
          <fgColor rgb="FFFFFF00"/>
          <bgColor rgb="FFFFFF00"/>
        </patternFill>
      </fill>
    </dxf>
    <dxf>
      <font>
        <b/>
      </font>
      <fill>
        <patternFill patternType="solid">
          <fgColor rgb="FFFF0000"/>
          <bgColor rgb="FFFF0000"/>
        </patternFill>
      </fill>
    </dxf>
    <dxf>
      <fill>
        <patternFill>
          <bgColor rgb="FFFF0000"/>
        </patternFill>
      </fill>
    </dxf>
    <dxf>
      <fill>
        <patternFill>
          <bgColor theme="8"/>
        </patternFill>
      </fill>
    </dxf>
    <dxf>
      <fill>
        <patternFill>
          <bgColor rgb="FFFFFF00"/>
        </patternFill>
      </fill>
    </dxf>
    <dxf>
      <fill>
        <patternFill>
          <bgColor rgb="FF00B050"/>
        </patternFill>
      </fill>
    </dxf>
    <dxf>
      <fill>
        <patternFill>
          <bgColor rgb="FF00B050"/>
        </patternFill>
      </fill>
    </dxf>
    <dxf>
      <fill>
        <patternFill>
          <bgColor rgb="FFFFFF00"/>
        </patternFill>
      </fill>
    </dxf>
    <dxf>
      <fill>
        <patternFill>
          <bgColor theme="8"/>
        </patternFill>
      </fill>
    </dxf>
    <dxf>
      <fill>
        <patternFill>
          <bgColor theme="0" tint="-0.24994659260841701"/>
        </patternFill>
      </fill>
    </dxf>
    <dxf>
      <fill>
        <patternFill>
          <bgColor rgb="FFFF0000"/>
        </patternFill>
      </fill>
    </dxf>
    <dxf>
      <fill>
        <patternFill>
          <bgColor rgb="FF00B050"/>
        </patternFill>
      </fill>
    </dxf>
    <dxf>
      <fill>
        <patternFill>
          <bgColor rgb="FFFFFF00"/>
        </patternFill>
      </fill>
    </dxf>
    <dxf>
      <fill>
        <patternFill>
          <bgColor theme="8"/>
        </patternFill>
      </fill>
    </dxf>
    <dxf>
      <fill>
        <patternFill>
          <bgColor theme="0" tint="-0.24994659260841701"/>
        </patternFill>
      </fill>
    </dxf>
    <dxf>
      <fill>
        <patternFill>
          <bgColor rgb="FFFF0000"/>
        </patternFill>
      </fill>
    </dxf>
    <dxf>
      <font>
        <b/>
      </font>
      <fill>
        <patternFill patternType="solid">
          <fgColor rgb="FFFFFF00"/>
          <bgColor rgb="FFFFFF00"/>
        </patternFill>
      </fill>
    </dxf>
    <dxf>
      <font>
        <b/>
      </font>
      <fill>
        <patternFill patternType="solid">
          <fgColor rgb="FF92D050"/>
          <bgColor rgb="FF00B050"/>
        </patternFill>
      </fill>
    </dxf>
    <dxf>
      <font>
        <b/>
      </font>
      <fill>
        <patternFill patternType="solid">
          <fgColor rgb="FFFF0000"/>
          <bgColor rgb="FFFF0000"/>
        </patternFill>
      </fill>
    </dxf>
    <dxf>
      <font>
        <b/>
      </font>
      <fill>
        <patternFill patternType="solid">
          <fgColor rgb="FFFF8A00"/>
          <bgColor theme="8"/>
        </patternFill>
      </fill>
    </dxf>
    <dxf>
      <font>
        <b/>
      </font>
      <fill>
        <patternFill patternType="solid">
          <fgColor rgb="FFFFFF00"/>
          <bgColor rgb="FFFFFF00"/>
        </patternFill>
      </fill>
    </dxf>
    <dxf>
      <font>
        <b/>
      </font>
      <fill>
        <patternFill patternType="solid">
          <fgColor rgb="FFFF8A00"/>
          <bgColor theme="8"/>
        </patternFill>
      </fill>
    </dxf>
    <dxf>
      <font>
        <b/>
      </font>
      <fill>
        <patternFill patternType="solid">
          <fgColor rgb="FF92D050"/>
          <bgColor rgb="FF00B050"/>
        </patternFill>
      </fill>
    </dxf>
    <dxf>
      <font>
        <b/>
      </font>
      <fill>
        <patternFill patternType="solid">
          <fgColor rgb="FFFF0000"/>
          <bgColor rgb="FFFF0000"/>
        </patternFill>
      </fill>
    </dxf>
    <dxf>
      <fill>
        <patternFill>
          <bgColor theme="8"/>
        </patternFill>
      </fill>
    </dxf>
    <dxf>
      <fill>
        <patternFill>
          <bgColor rgb="FFFF0000"/>
        </patternFill>
      </fill>
    </dxf>
    <dxf>
      <fill>
        <patternFill>
          <bgColor rgb="FFFFFF00"/>
        </patternFill>
      </fill>
    </dxf>
    <dxf>
      <fill>
        <patternFill>
          <bgColor theme="7" tint="0.39994506668294322"/>
        </patternFill>
      </fill>
    </dxf>
    <dxf>
      <fill>
        <patternFill>
          <bgColor rgb="FF00B050"/>
        </patternFill>
      </fill>
    </dxf>
    <dxf>
      <fill>
        <patternFill>
          <bgColor rgb="FFFF0000"/>
        </patternFill>
      </fill>
    </dxf>
    <dxf>
      <fill>
        <patternFill>
          <bgColor theme="8"/>
        </patternFill>
      </fill>
    </dxf>
    <dxf>
      <fill>
        <patternFill>
          <bgColor rgb="FFFFFF00"/>
        </patternFill>
      </fill>
    </dxf>
    <dxf>
      <fill>
        <patternFill>
          <bgColor rgb="FF00B050"/>
        </patternFill>
      </fill>
    </dxf>
    <dxf>
      <font>
        <b/>
      </font>
      <fill>
        <patternFill patternType="solid">
          <fgColor rgb="FFFFFF00"/>
          <bgColor rgb="FFFFFF00"/>
        </patternFill>
      </fill>
    </dxf>
    <dxf>
      <font>
        <b/>
      </font>
      <fill>
        <patternFill patternType="solid">
          <fgColor rgb="FF92D050"/>
          <bgColor rgb="FF00B050"/>
        </patternFill>
      </fill>
    </dxf>
    <dxf>
      <font>
        <b/>
      </font>
      <fill>
        <patternFill patternType="solid">
          <fgColor rgb="FFFF0000"/>
          <bgColor rgb="FFFF0000"/>
        </patternFill>
      </fill>
    </dxf>
    <dxf>
      <font>
        <b/>
      </font>
      <fill>
        <patternFill patternType="solid">
          <fgColor rgb="FFFF8A00"/>
          <bgColor theme="8"/>
        </patternFill>
      </fill>
    </dxf>
    <dxf>
      <font>
        <b/>
      </font>
      <fill>
        <patternFill patternType="solid">
          <fgColor rgb="FFFFFF00"/>
          <bgColor rgb="FFFFFF00"/>
        </patternFill>
      </fill>
    </dxf>
    <dxf>
      <font>
        <b/>
      </font>
      <fill>
        <patternFill patternType="solid">
          <fgColor rgb="FF92D050"/>
          <bgColor rgb="FF00B050"/>
        </patternFill>
      </fill>
    </dxf>
    <dxf>
      <font>
        <b/>
      </font>
      <fill>
        <patternFill patternType="solid">
          <fgColor rgb="FFFF0000"/>
          <bgColor rgb="FFFF0000"/>
        </patternFill>
      </fill>
    </dxf>
    <dxf>
      <font>
        <b/>
      </font>
      <fill>
        <patternFill patternType="solid">
          <fgColor rgb="FFFF8A00"/>
          <bgColor theme="8"/>
        </patternFill>
      </fill>
    </dxf>
    <dxf>
      <fill>
        <patternFill>
          <bgColor theme="8"/>
        </patternFill>
      </fill>
    </dxf>
    <dxf>
      <fill>
        <patternFill>
          <bgColor rgb="FFFF0000"/>
        </patternFill>
      </fill>
    </dxf>
    <dxf>
      <fill>
        <patternFill>
          <bgColor rgb="FFFFFF00"/>
        </patternFill>
      </fill>
    </dxf>
    <dxf>
      <fill>
        <patternFill>
          <bgColor theme="7" tint="0.39994506668294322"/>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4800" b="1">
                <a:solidFill>
                  <a:srgbClr val="000000"/>
                </a:solidFill>
                <a:latin typeface="serif"/>
              </a:defRPr>
            </a:pPr>
            <a:r>
              <a:rPr lang="fr-FR" sz="4800" b="1">
                <a:solidFill>
                  <a:srgbClr val="000000"/>
                </a:solidFill>
                <a:latin typeface="serif"/>
              </a:rPr>
              <a:t>Overall Risk Score Comparison</a:t>
            </a:r>
          </a:p>
        </c:rich>
      </c:tx>
      <c:layout>
        <c:manualLayout>
          <c:xMode val="edge"/>
          <c:yMode val="edge"/>
          <c:x val="0.22463152127816663"/>
          <c:y val="8.5926463185584927E-3"/>
        </c:manualLayout>
      </c:layout>
      <c:overlay val="0"/>
    </c:title>
    <c:autoTitleDeleted val="0"/>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v>Before Mitigation</c:v>
          </c:tx>
          <c:spPr>
            <a:solidFill>
              <a:srgbClr val="4285F4"/>
            </a:solidFill>
            <a:ln w="38100" cmpd="sng">
              <a:solidFill>
                <a:srgbClr val="000000"/>
              </a:solidFill>
            </a:ln>
          </c:spPr>
          <c:invertIfNegative val="1"/>
          <c:dLbls>
            <c:spPr>
              <a:noFill/>
              <a:ln>
                <a:noFill/>
              </a:ln>
              <a:effectLst/>
            </c:spPr>
            <c:txPr>
              <a:bodyPr/>
              <a:lstStyle/>
              <a:p>
                <a:pPr lvl="0">
                  <a:defRPr sz="3600" b="1">
                    <a:latin typeface="serif"/>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'Risk Table'!$O$33</c:f>
              <c:numCache>
                <c:formatCode>0.000</c:formatCode>
                <c:ptCount val="1"/>
                <c:pt idx="0">
                  <c:v>5.1375000000000002</c:v>
                </c:pt>
              </c:numCache>
            </c:numRef>
          </c:val>
          <c:extLst>
            <c:ext xmlns:c14="http://schemas.microsoft.com/office/drawing/2007/8/2/chart" uri="{6F2FDCE9-48DA-4B69-8628-5D25D57E5C99}">
              <c14:invertSolidFillFmt>
                <c14:spPr xmlns:c14="http://schemas.microsoft.com/office/drawing/2007/8/2/chart">
                  <a:solidFill>
                    <a:srgbClr val="FFFFFF"/>
                  </a:solidFill>
                  <a:ln w="38100" cmpd="sng">
                    <a:solidFill>
                      <a:srgbClr val="000000"/>
                    </a:solidFill>
                  </a:ln>
                </c14:spPr>
              </c14:invertSolidFillFmt>
            </c:ext>
            <c:ext xmlns:c16="http://schemas.microsoft.com/office/drawing/2014/chart" uri="{C3380CC4-5D6E-409C-BE32-E72D297353CC}">
              <c16:uniqueId val="{00000000-43B6-4F2D-B9B3-DE2E3C94AC1A}"/>
            </c:ext>
          </c:extLst>
        </c:ser>
        <c:ser>
          <c:idx val="1"/>
          <c:order val="1"/>
          <c:tx>
            <c:v>After Mitigation</c:v>
          </c:tx>
          <c:spPr>
            <a:solidFill>
              <a:srgbClr val="EA4335"/>
            </a:solidFill>
            <a:ln w="38100" cmpd="sng">
              <a:solidFill>
                <a:srgbClr val="000000"/>
              </a:solidFill>
            </a:ln>
          </c:spPr>
          <c:invertIfNegative val="1"/>
          <c:dLbls>
            <c:spPr>
              <a:noFill/>
              <a:ln>
                <a:noFill/>
              </a:ln>
              <a:effectLst/>
            </c:spPr>
            <c:txPr>
              <a:bodyPr/>
              <a:lstStyle/>
              <a:p>
                <a:pPr lvl="0">
                  <a:defRPr sz="3600" b="1">
                    <a:latin typeface="serif"/>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'Risk Table'!$AD$33</c:f>
              <c:numCache>
                <c:formatCode>0.000</c:formatCode>
                <c:ptCount val="1"/>
                <c:pt idx="0">
                  <c:v>2.1250000000000004</c:v>
                </c:pt>
              </c:numCache>
            </c:numRef>
          </c:val>
          <c:extLst>
            <c:ext xmlns:c14="http://schemas.microsoft.com/office/drawing/2007/8/2/chart" uri="{6F2FDCE9-48DA-4B69-8628-5D25D57E5C99}">
              <c14:invertSolidFillFmt>
                <c14:spPr xmlns:c14="http://schemas.microsoft.com/office/drawing/2007/8/2/chart">
                  <a:solidFill>
                    <a:srgbClr val="FFFFFF"/>
                  </a:solidFill>
                  <a:ln w="38100" cmpd="sng">
                    <a:solidFill>
                      <a:srgbClr val="000000"/>
                    </a:solidFill>
                  </a:ln>
                </c14:spPr>
              </c14:invertSolidFillFmt>
            </c:ext>
            <c:ext xmlns:c16="http://schemas.microsoft.com/office/drawing/2014/chart" uri="{C3380CC4-5D6E-409C-BE32-E72D297353CC}">
              <c16:uniqueId val="{00000001-43B6-4F2D-B9B3-DE2E3C94AC1A}"/>
            </c:ext>
          </c:extLst>
        </c:ser>
        <c:dLbls>
          <c:showLegendKey val="0"/>
          <c:showVal val="0"/>
          <c:showCatName val="0"/>
          <c:showSerName val="0"/>
          <c:showPercent val="0"/>
          <c:showBubbleSize val="0"/>
        </c:dLbls>
        <c:gapWidth val="150"/>
        <c:shape val="box"/>
        <c:axId val="2106359930"/>
        <c:axId val="257308682"/>
        <c:axId val="0"/>
      </c:bar3DChart>
      <c:catAx>
        <c:axId val="2106359930"/>
        <c:scaling>
          <c:orientation val="minMax"/>
        </c:scaling>
        <c:delete val="1"/>
        <c:axPos val="b"/>
        <c:title>
          <c:tx>
            <c:rich>
              <a:bodyPr/>
              <a:lstStyle/>
              <a:p>
                <a:pPr lvl="0">
                  <a:defRPr sz="2800" b="1">
                    <a:solidFill>
                      <a:srgbClr val="000000"/>
                    </a:solidFill>
                    <a:latin typeface="serif"/>
                  </a:defRPr>
                </a:pPr>
                <a:r>
                  <a:rPr lang="fr-FR" sz="2800" b="1">
                    <a:solidFill>
                      <a:srgbClr val="000000"/>
                    </a:solidFill>
                    <a:latin typeface="serif"/>
                  </a:rPr>
                  <a:t>Risk Score Before and After Mitigation</a:t>
                </a:r>
              </a:p>
            </c:rich>
          </c:tx>
          <c:overlay val="0"/>
        </c:title>
        <c:numFmt formatCode="General" sourceLinked="1"/>
        <c:majorTickMark val="none"/>
        <c:minorTickMark val="none"/>
        <c:tickLblPos val="nextTo"/>
        <c:crossAx val="257308682"/>
        <c:crosses val="autoZero"/>
        <c:auto val="1"/>
        <c:lblAlgn val="ctr"/>
        <c:lblOffset val="100"/>
        <c:noMultiLvlLbl val="1"/>
      </c:catAx>
      <c:valAx>
        <c:axId val="257308682"/>
        <c:scaling>
          <c:orientation val="minMax"/>
          <c:max val="7"/>
        </c:scaling>
        <c:delete val="0"/>
        <c:axPos val="l"/>
        <c:majorGridlines>
          <c:spPr>
            <a:ln>
              <a:solidFill>
                <a:srgbClr val="B7B7B7"/>
              </a:solidFill>
            </a:ln>
          </c:spPr>
        </c:majorGridlines>
        <c:minorGridlines>
          <c:spPr>
            <a:ln>
              <a:solidFill>
                <a:srgbClr val="FFFFFF"/>
              </a:solidFill>
            </a:ln>
          </c:spPr>
        </c:minorGridlines>
        <c:title>
          <c:tx>
            <c:rich>
              <a:bodyPr/>
              <a:lstStyle/>
              <a:p>
                <a:pPr lvl="0">
                  <a:defRPr sz="2800" b="1">
                    <a:solidFill>
                      <a:srgbClr val="000000"/>
                    </a:solidFill>
                    <a:latin typeface="serif"/>
                  </a:defRPr>
                </a:pPr>
                <a:r>
                  <a:rPr lang="fr-FR" sz="2800" b="1">
                    <a:solidFill>
                      <a:srgbClr val="000000"/>
                    </a:solidFill>
                    <a:latin typeface="serif"/>
                  </a:rPr>
                  <a:t>Average Weighted Risk Score</a:t>
                </a:r>
              </a:p>
            </c:rich>
          </c:tx>
          <c:overlay val="0"/>
        </c:title>
        <c:numFmt formatCode="0.000" sourceLinked="1"/>
        <c:majorTickMark val="none"/>
        <c:minorTickMark val="none"/>
        <c:tickLblPos val="nextTo"/>
        <c:spPr>
          <a:ln/>
        </c:spPr>
        <c:txPr>
          <a:bodyPr/>
          <a:lstStyle/>
          <a:p>
            <a:pPr lvl="0">
              <a:defRPr b="0">
                <a:solidFill>
                  <a:srgbClr val="000000"/>
                </a:solidFill>
                <a:latin typeface="serif"/>
              </a:defRPr>
            </a:pPr>
            <a:endParaRPr lang="fr-FR"/>
          </a:p>
        </c:txPr>
        <c:crossAx val="2106359930"/>
        <c:crosses val="autoZero"/>
        <c:crossBetween val="between"/>
      </c:valAx>
    </c:plotArea>
    <c:legend>
      <c:legendPos val="t"/>
      <c:legendEntry>
        <c:idx val="0"/>
        <c:txPr>
          <a:bodyPr/>
          <a:lstStyle/>
          <a:p>
            <a:pPr lvl="0">
              <a:defRPr sz="2000" b="1"/>
            </a:pPr>
            <a:endParaRPr lang="fr-FR"/>
          </a:p>
        </c:txPr>
      </c:legendEntry>
      <c:legendEntry>
        <c:idx val="1"/>
        <c:txPr>
          <a:bodyPr/>
          <a:lstStyle/>
          <a:p>
            <a:pPr lvl="0">
              <a:defRPr sz="2000" b="1"/>
            </a:pPr>
            <a:endParaRPr lang="fr-FR"/>
          </a:p>
        </c:txPr>
      </c:legendEntry>
      <c:overlay val="0"/>
      <c:txPr>
        <a:bodyPr/>
        <a:lstStyle/>
        <a:p>
          <a:pPr lvl="0">
            <a:defRPr sz="2000" b="0">
              <a:solidFill>
                <a:srgbClr val="1A1A1A"/>
              </a:solidFill>
              <a:latin typeface="serif"/>
            </a:defRPr>
          </a:pPr>
          <a:endParaRPr lang="fr-FR"/>
        </a:p>
      </c:txPr>
    </c:legend>
    <c:plotVisOnly val="1"/>
    <c:dispBlanksAs val="zero"/>
    <c:showDLblsOverMax val="1"/>
  </c:chart>
  <c:spPr>
    <a:solidFill>
      <a:srgbClr val="EFEFEF"/>
    </a:solidFill>
    <a:ln>
      <a:solidFill>
        <a:schemeClr val="tx1"/>
      </a:solid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4800" b="1">
                <a:solidFill>
                  <a:srgbClr val="000000"/>
                </a:solidFill>
                <a:latin typeface="serif"/>
              </a:defRPr>
            </a:pPr>
            <a:r>
              <a:rPr lang="fr-FR" sz="4800" b="1">
                <a:solidFill>
                  <a:srgbClr val="000000"/>
                </a:solidFill>
                <a:latin typeface="serif"/>
              </a:rPr>
              <a:t>Risk Exposure Before &amp; After Mitigation</a:t>
            </a:r>
          </a:p>
        </c:rich>
      </c:tx>
      <c:layout>
        <c:manualLayout>
          <c:xMode val="edge"/>
          <c:yMode val="edge"/>
          <c:x val="0.29704249721385567"/>
          <c:y val="7.3357789138715056E-3"/>
        </c:manualLayout>
      </c:layout>
      <c:overlay val="0"/>
    </c:title>
    <c:autoTitleDeleted val="0"/>
    <c:plotArea>
      <c:layout/>
      <c:barChart>
        <c:barDir val="bar"/>
        <c:grouping val="clustered"/>
        <c:varyColors val="1"/>
        <c:ser>
          <c:idx val="0"/>
          <c:order val="0"/>
          <c:tx>
            <c:v>Weighted scores before </c:v>
          </c:tx>
          <c:spPr>
            <a:solidFill>
              <a:srgbClr val="4285F4"/>
            </a:solidFill>
            <a:ln cmpd="sng">
              <a:solidFill>
                <a:srgbClr val="000000">
                  <a:alpha val="100000"/>
                </a:srgbClr>
              </a:solidFill>
            </a:ln>
          </c:spPr>
          <c:invertIfNegative val="1"/>
          <c:dLbls>
            <c:spPr>
              <a:noFill/>
              <a:ln>
                <a:noFill/>
              </a:ln>
              <a:effectLst/>
            </c:spPr>
            <c:txPr>
              <a:bodyPr/>
              <a:lstStyle/>
              <a:p>
                <a:pPr lvl="0">
                  <a:defRPr sz="1800" b="1"/>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extLst>
                <c:ext xmlns:c15="http://schemas.microsoft.com/office/drawing/2012/chart" uri="{02D57815-91ED-43cb-92C2-25804820EDAC}">
                  <c15:fullRef>
                    <c15:sqref>'Risk Table'!$A$13:$A$32</c15:sqref>
                  </c15:fullRef>
                </c:ext>
              </c:extLst>
              <c:f>('Risk Table'!$A$13,'Risk Table'!$A$17,'Risk Table'!$A$21,'Risk Table'!$A$25,'Risk Table'!$A$29)</c:f>
              <c:strCache>
                <c:ptCount val="5"/>
                <c:pt idx="0">
                  <c:v>Operational Risks</c:v>
                </c:pt>
                <c:pt idx="1">
                  <c:v>Marketing Risks</c:v>
                </c:pt>
                <c:pt idx="2">
                  <c:v>Financial Risks</c:v>
                </c:pt>
                <c:pt idx="3">
                  <c:v>Legal Risks</c:v>
                </c:pt>
                <c:pt idx="4">
                  <c:v>Human Risks</c:v>
                </c:pt>
              </c:strCache>
            </c:strRef>
          </c:cat>
          <c:val>
            <c:numRef>
              <c:extLst>
                <c:ext xmlns:c15="http://schemas.microsoft.com/office/drawing/2012/chart" uri="{02D57815-91ED-43cb-92C2-25804820EDAC}">
                  <c15:fullRef>
                    <c15:sqref>'Risk Table'!$O$13:$O$32</c15:sqref>
                  </c15:fullRef>
                </c:ext>
              </c:extLst>
              <c:f>('Risk Table'!$O$13,'Risk Table'!$O$17,'Risk Table'!$O$21,'Risk Table'!$O$25,'Risk Table'!$O$29)</c:f>
              <c:numCache>
                <c:formatCode>General</c:formatCode>
                <c:ptCount val="5"/>
                <c:pt idx="0">
                  <c:v>2.2749999999999999</c:v>
                </c:pt>
                <c:pt idx="1">
                  <c:v>0.26250000000000001</c:v>
                </c:pt>
                <c:pt idx="2">
                  <c:v>1.1500000000000001</c:v>
                </c:pt>
                <c:pt idx="3">
                  <c:v>0.65</c:v>
                </c:pt>
                <c:pt idx="4">
                  <c:v>0.79999999999999993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alpha val="100000"/>
                      </a:srgbClr>
                    </a:solidFill>
                  </a:ln>
                </c14:spPr>
              </c14:invertSolidFillFmt>
            </c:ext>
            <c:ext xmlns:c16="http://schemas.microsoft.com/office/drawing/2014/chart" uri="{C3380CC4-5D6E-409C-BE32-E72D297353CC}">
              <c16:uniqueId val="{00000000-8E4C-46A4-A30D-7BEE0A34F936}"/>
            </c:ext>
          </c:extLst>
        </c:ser>
        <c:ser>
          <c:idx val="1"/>
          <c:order val="1"/>
          <c:tx>
            <c:v>Weighted Scores After</c:v>
          </c:tx>
          <c:spPr>
            <a:solidFill>
              <a:srgbClr val="FF0000"/>
            </a:solidFill>
            <a:ln cmpd="sng">
              <a:solidFill>
                <a:schemeClr val="dk1"/>
              </a:solidFill>
              <a:prstDash val="solid"/>
            </a:ln>
          </c:spPr>
          <c:invertIfNegative val="1"/>
          <c:dLbls>
            <c:spPr>
              <a:noFill/>
              <a:ln>
                <a:noFill/>
              </a:ln>
              <a:effectLst/>
            </c:spPr>
            <c:txPr>
              <a:bodyPr/>
              <a:lstStyle/>
              <a:p>
                <a:pPr lvl="0">
                  <a:defRPr sz="1800" b="1"/>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extLst>
                <c:ext xmlns:c15="http://schemas.microsoft.com/office/drawing/2012/chart" uri="{02D57815-91ED-43cb-92C2-25804820EDAC}">
                  <c15:fullRef>
                    <c15:sqref>'Risk Table'!$A$13:$A$32</c15:sqref>
                  </c15:fullRef>
                </c:ext>
              </c:extLst>
              <c:f>('Risk Table'!$A$13,'Risk Table'!$A$17,'Risk Table'!$A$21,'Risk Table'!$A$25,'Risk Table'!$A$29)</c:f>
              <c:strCache>
                <c:ptCount val="5"/>
                <c:pt idx="0">
                  <c:v>Operational Risks</c:v>
                </c:pt>
                <c:pt idx="1">
                  <c:v>Marketing Risks</c:v>
                </c:pt>
                <c:pt idx="2">
                  <c:v>Financial Risks</c:v>
                </c:pt>
                <c:pt idx="3">
                  <c:v>Legal Risks</c:v>
                </c:pt>
                <c:pt idx="4">
                  <c:v>Human Risks</c:v>
                </c:pt>
              </c:strCache>
            </c:strRef>
          </c:cat>
          <c:val>
            <c:numRef>
              <c:extLst>
                <c:ext xmlns:c15="http://schemas.microsoft.com/office/drawing/2012/chart" uri="{02D57815-91ED-43cb-92C2-25804820EDAC}">
                  <c15:fullRef>
                    <c15:sqref>'Risk Table'!$AD$13:$AD$32</c15:sqref>
                  </c15:fullRef>
                </c:ext>
              </c:extLst>
              <c:f>('Risk Table'!$AD$13,'Risk Table'!$AD$17,'Risk Table'!$AD$21,'Risk Table'!$AD$25,'Risk Table'!$AD$29)</c:f>
              <c:numCache>
                <c:formatCode>General</c:formatCode>
                <c:ptCount val="5"/>
                <c:pt idx="0">
                  <c:v>0.61250000000000004</c:v>
                </c:pt>
                <c:pt idx="1">
                  <c:v>0.1125</c:v>
                </c:pt>
                <c:pt idx="2">
                  <c:v>0.85</c:v>
                </c:pt>
                <c:pt idx="3">
                  <c:v>0.35</c:v>
                </c:pt>
                <c:pt idx="4">
                  <c:v>0.2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chemeClr val="dk1"/>
                    </a:solidFill>
                    <a:prstDash val="solid"/>
                  </a:ln>
                </c14:spPr>
              </c14:invertSolidFillFmt>
            </c:ext>
            <c:ext xmlns:c16="http://schemas.microsoft.com/office/drawing/2014/chart" uri="{C3380CC4-5D6E-409C-BE32-E72D297353CC}">
              <c16:uniqueId val="{00000001-8E4C-46A4-A30D-7BEE0A34F936}"/>
            </c:ext>
          </c:extLst>
        </c:ser>
        <c:dLbls>
          <c:showLegendKey val="0"/>
          <c:showVal val="0"/>
          <c:showCatName val="0"/>
          <c:showSerName val="0"/>
          <c:showPercent val="0"/>
          <c:showBubbleSize val="0"/>
        </c:dLbls>
        <c:gapWidth val="150"/>
        <c:axId val="677969586"/>
        <c:axId val="834997679"/>
      </c:barChart>
      <c:catAx>
        <c:axId val="677969586"/>
        <c:scaling>
          <c:orientation val="maxMin"/>
        </c:scaling>
        <c:delete val="0"/>
        <c:axPos val="l"/>
        <c:title>
          <c:tx>
            <c:rich>
              <a:bodyPr/>
              <a:lstStyle/>
              <a:p>
                <a:pPr lvl="0">
                  <a:defRPr sz="2800" b="1">
                    <a:solidFill>
                      <a:srgbClr val="000000"/>
                    </a:solidFill>
                    <a:latin typeface="serif"/>
                  </a:defRPr>
                </a:pPr>
                <a:r>
                  <a:rPr lang="fr-FR" sz="2800" b="1">
                    <a:solidFill>
                      <a:srgbClr val="000000"/>
                    </a:solidFill>
                    <a:latin typeface="serif"/>
                  </a:rPr>
                  <a:t>Risk Categories</a:t>
                </a:r>
              </a:p>
            </c:rich>
          </c:tx>
          <c:overlay val="0"/>
        </c:title>
        <c:numFmt formatCode="General" sourceLinked="1"/>
        <c:majorTickMark val="none"/>
        <c:minorTickMark val="none"/>
        <c:tickLblPos val="nextTo"/>
        <c:txPr>
          <a:bodyPr/>
          <a:lstStyle/>
          <a:p>
            <a:pPr lvl="0">
              <a:defRPr sz="2000" b="1">
                <a:solidFill>
                  <a:srgbClr val="000000"/>
                </a:solidFill>
                <a:latin typeface="+mn-lt"/>
              </a:defRPr>
            </a:pPr>
            <a:endParaRPr lang="fr-FR"/>
          </a:p>
        </c:txPr>
        <c:crossAx val="834997679"/>
        <c:crosses val="autoZero"/>
        <c:auto val="1"/>
        <c:lblAlgn val="ctr"/>
        <c:lblOffset val="100"/>
        <c:noMultiLvlLbl val="1"/>
      </c:catAx>
      <c:valAx>
        <c:axId val="83499767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sz="2800" b="1">
                    <a:solidFill>
                      <a:srgbClr val="000000"/>
                    </a:solidFill>
                    <a:latin typeface="serif"/>
                  </a:defRPr>
                </a:pPr>
                <a:r>
                  <a:rPr lang="fr-FR" sz="2800" b="1">
                    <a:solidFill>
                      <a:srgbClr val="000000"/>
                    </a:solidFill>
                    <a:latin typeface="serif"/>
                  </a:rPr>
                  <a:t>Weighted Scores for each category</a:t>
                </a:r>
              </a:p>
            </c:rich>
          </c:tx>
          <c:overlay val="0"/>
        </c:title>
        <c:numFmt formatCode="General" sourceLinked="1"/>
        <c:majorTickMark val="none"/>
        <c:minorTickMark val="none"/>
        <c:tickLblPos val="nextTo"/>
        <c:spPr>
          <a:ln>
            <a:solidFill/>
          </a:ln>
        </c:spPr>
        <c:txPr>
          <a:bodyPr/>
          <a:lstStyle/>
          <a:p>
            <a:pPr lvl="0">
              <a:defRPr b="0">
                <a:solidFill>
                  <a:srgbClr val="000000"/>
                </a:solidFill>
                <a:latin typeface="+mn-lt"/>
              </a:defRPr>
            </a:pPr>
            <a:endParaRPr lang="fr-FR"/>
          </a:p>
        </c:txPr>
        <c:crossAx val="677969586"/>
        <c:crosses val="max"/>
        <c:crossBetween val="between"/>
      </c:valAx>
    </c:plotArea>
    <c:legend>
      <c:legendPos val="t"/>
      <c:legendEntry>
        <c:idx val="0"/>
        <c:txPr>
          <a:bodyPr/>
          <a:lstStyle/>
          <a:p>
            <a:pPr lvl="0">
              <a:defRPr sz="2000" b="1">
                <a:latin typeface="serif"/>
              </a:defRPr>
            </a:pPr>
            <a:endParaRPr lang="fr-FR"/>
          </a:p>
        </c:txPr>
      </c:legendEntry>
      <c:legendEntry>
        <c:idx val="1"/>
        <c:txPr>
          <a:bodyPr/>
          <a:lstStyle/>
          <a:p>
            <a:pPr lvl="0">
              <a:defRPr sz="2000" b="1">
                <a:latin typeface="serif"/>
              </a:defRPr>
            </a:pPr>
            <a:endParaRPr lang="fr-FR"/>
          </a:p>
        </c:txPr>
      </c:legendEntry>
      <c:layout>
        <c:manualLayout>
          <c:xMode val="edge"/>
          <c:yMode val="edge"/>
          <c:x val="0.30449733170545418"/>
          <c:y val="9.5992561599256163E-2"/>
          <c:w val="0.39918469443310811"/>
          <c:h val="3.7023502453536916E-2"/>
        </c:manualLayout>
      </c:layout>
      <c:overlay val="0"/>
      <c:txPr>
        <a:bodyPr/>
        <a:lstStyle/>
        <a:p>
          <a:pPr lvl="0">
            <a:defRPr sz="2000" b="0">
              <a:solidFill>
                <a:srgbClr val="1A1A1A"/>
              </a:solidFill>
              <a:latin typeface="+mn-lt"/>
            </a:defRPr>
          </a:pPr>
          <a:endParaRPr lang="fr-FR"/>
        </a:p>
      </c:txPr>
    </c:legend>
    <c:plotVisOnly val="1"/>
    <c:dispBlanksAs val="zero"/>
    <c:showDLblsOverMax val="1"/>
  </c:chart>
  <c:spPr>
    <a:solidFill>
      <a:srgbClr val="EFEFEF"/>
    </a:solidFill>
    <a:ln>
      <a:solidFill>
        <a:schemeClr val="tx1"/>
      </a:solid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4800" b="1">
                <a:solidFill>
                  <a:srgbClr val="000000"/>
                </a:solidFill>
                <a:latin typeface="Serif"/>
              </a:defRPr>
            </a:pPr>
            <a:r>
              <a:rPr lang="fr-FR" sz="4800" b="1">
                <a:solidFill>
                  <a:srgbClr val="000000"/>
                </a:solidFill>
                <a:latin typeface="Serif"/>
              </a:rPr>
              <a:t>Risk Count Comparison: Before vs. After Mitigation</a:t>
            </a:r>
          </a:p>
        </c:rich>
      </c:tx>
      <c:overlay val="0"/>
    </c:title>
    <c:autoTitleDeleted val="0"/>
    <c:plotArea>
      <c:layout/>
      <c:barChart>
        <c:barDir val="bar"/>
        <c:grouping val="stacked"/>
        <c:varyColors val="1"/>
        <c:ser>
          <c:idx val="0"/>
          <c:order val="0"/>
          <c:tx>
            <c:v>Risk Count Before Mitigation </c:v>
          </c:tx>
          <c:spPr>
            <a:solidFill>
              <a:srgbClr val="4285F4"/>
            </a:solidFill>
            <a:ln cmpd="sng">
              <a:solidFill>
                <a:srgbClr val="000000"/>
              </a:solidFill>
            </a:ln>
          </c:spPr>
          <c:invertIfNegative val="1"/>
          <c:dLbls>
            <c:spPr>
              <a:noFill/>
              <a:ln>
                <a:noFill/>
              </a:ln>
              <a:effectLst/>
            </c:spPr>
            <c:txPr>
              <a:bodyPr/>
              <a:lstStyle/>
              <a:p>
                <a:pPr lvl="0">
                  <a:defRPr sz="2400"/>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'Risk Table'!$I$107:$I$110</c:f>
              <c:strCache>
                <c:ptCount val="4"/>
                <c:pt idx="0">
                  <c:v>CRITICAL</c:v>
                </c:pt>
                <c:pt idx="1">
                  <c:v>SEVERE</c:v>
                </c:pt>
                <c:pt idx="2">
                  <c:v>MODERATE</c:v>
                </c:pt>
                <c:pt idx="3">
                  <c:v>SUSTAINABLE </c:v>
                </c:pt>
              </c:strCache>
            </c:strRef>
          </c:cat>
          <c:val>
            <c:numRef>
              <c:f>'Risk Table'!$J$107:$J$110</c:f>
              <c:numCache>
                <c:formatCode>General</c:formatCode>
                <c:ptCount val="4"/>
                <c:pt idx="0">
                  <c:v>10</c:v>
                </c:pt>
                <c:pt idx="1">
                  <c:v>3</c:v>
                </c:pt>
                <c:pt idx="2">
                  <c:v>7</c:v>
                </c:pt>
                <c:pt idx="3">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EBDC-4D58-A7E1-845682292F70}"/>
            </c:ext>
          </c:extLst>
        </c:ser>
        <c:ser>
          <c:idx val="1"/>
          <c:order val="1"/>
          <c:tx>
            <c:v>Risk Count After Mitigation </c:v>
          </c:tx>
          <c:spPr>
            <a:solidFill>
              <a:srgbClr val="EA4335"/>
            </a:solidFill>
            <a:ln cmpd="sng">
              <a:solidFill>
                <a:srgbClr val="000000"/>
              </a:solidFill>
            </a:ln>
          </c:spPr>
          <c:invertIfNegative val="1"/>
          <c:dLbls>
            <c:spPr>
              <a:noFill/>
              <a:ln>
                <a:noFill/>
              </a:ln>
              <a:effectLst/>
            </c:spPr>
            <c:txPr>
              <a:bodyPr/>
              <a:lstStyle/>
              <a:p>
                <a:pPr lvl="0">
                  <a:defRPr sz="2400"/>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'Risk Table'!$I$107:$I$110</c:f>
              <c:strCache>
                <c:ptCount val="4"/>
                <c:pt idx="0">
                  <c:v>CRITICAL</c:v>
                </c:pt>
                <c:pt idx="1">
                  <c:v>SEVERE</c:v>
                </c:pt>
                <c:pt idx="2">
                  <c:v>MODERATE</c:v>
                </c:pt>
                <c:pt idx="3">
                  <c:v>SUSTAINABLE </c:v>
                </c:pt>
              </c:strCache>
            </c:strRef>
          </c:cat>
          <c:val>
            <c:numRef>
              <c:f>'Risk Table'!$K$107:$K$110</c:f>
              <c:numCache>
                <c:formatCode>General</c:formatCode>
                <c:ptCount val="4"/>
                <c:pt idx="0">
                  <c:v>0</c:v>
                </c:pt>
                <c:pt idx="1">
                  <c:v>6</c:v>
                </c:pt>
                <c:pt idx="2">
                  <c:v>7</c:v>
                </c:pt>
                <c:pt idx="3">
                  <c:v>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EBDC-4D58-A7E1-845682292F70}"/>
            </c:ext>
          </c:extLst>
        </c:ser>
        <c:dLbls>
          <c:showLegendKey val="0"/>
          <c:showVal val="0"/>
          <c:showCatName val="0"/>
          <c:showSerName val="0"/>
          <c:showPercent val="0"/>
          <c:showBubbleSize val="0"/>
        </c:dLbls>
        <c:gapWidth val="150"/>
        <c:overlap val="100"/>
        <c:axId val="406443944"/>
        <c:axId val="1326482823"/>
      </c:barChart>
      <c:catAx>
        <c:axId val="406443944"/>
        <c:scaling>
          <c:orientation val="maxMin"/>
        </c:scaling>
        <c:delete val="0"/>
        <c:axPos val="l"/>
        <c:title>
          <c:tx>
            <c:rich>
              <a:bodyPr/>
              <a:lstStyle/>
              <a:p>
                <a:pPr lvl="0">
                  <a:defRPr b="0">
                    <a:solidFill>
                      <a:srgbClr val="000000"/>
                    </a:solidFill>
                    <a:latin typeface="+mn-lt"/>
                  </a:defRPr>
                </a:pPr>
                <a:endParaRPr lang="fr-FR"/>
              </a:p>
            </c:rich>
          </c:tx>
          <c:overlay val="0"/>
        </c:title>
        <c:numFmt formatCode="General" sourceLinked="1"/>
        <c:majorTickMark val="none"/>
        <c:minorTickMark val="none"/>
        <c:tickLblPos val="nextTo"/>
        <c:txPr>
          <a:bodyPr/>
          <a:lstStyle/>
          <a:p>
            <a:pPr lvl="0">
              <a:defRPr sz="2800" b="1">
                <a:solidFill>
                  <a:srgbClr val="000000"/>
                </a:solidFill>
                <a:latin typeface="serif"/>
              </a:defRPr>
            </a:pPr>
            <a:endParaRPr lang="fr-FR"/>
          </a:p>
        </c:txPr>
        <c:crossAx val="1326482823"/>
        <c:crosses val="autoZero"/>
        <c:auto val="1"/>
        <c:lblAlgn val="ctr"/>
        <c:lblOffset val="100"/>
        <c:noMultiLvlLbl val="1"/>
      </c:catAx>
      <c:valAx>
        <c:axId val="132648282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fr-FR"/>
              </a:p>
            </c:rich>
          </c:tx>
          <c:overlay val="0"/>
        </c:title>
        <c:numFmt formatCode="General" sourceLinked="1"/>
        <c:majorTickMark val="none"/>
        <c:minorTickMark val="none"/>
        <c:tickLblPos val="nextTo"/>
        <c:spPr>
          <a:ln/>
        </c:spPr>
        <c:txPr>
          <a:bodyPr/>
          <a:lstStyle/>
          <a:p>
            <a:pPr lvl="0">
              <a:defRPr sz="1400" b="0">
                <a:solidFill>
                  <a:srgbClr val="000000"/>
                </a:solidFill>
                <a:latin typeface="+mn-lt"/>
              </a:defRPr>
            </a:pPr>
            <a:endParaRPr lang="fr-FR"/>
          </a:p>
        </c:txPr>
        <c:crossAx val="406443944"/>
        <c:crosses val="max"/>
        <c:crossBetween val="between"/>
      </c:valAx>
    </c:plotArea>
    <c:legend>
      <c:legendPos val="t"/>
      <c:overlay val="0"/>
      <c:txPr>
        <a:bodyPr/>
        <a:lstStyle/>
        <a:p>
          <a:pPr lvl="0">
            <a:defRPr sz="2400" b="1">
              <a:solidFill>
                <a:srgbClr val="1A1A1A"/>
              </a:solidFill>
              <a:latin typeface="+mn-lt"/>
            </a:defRPr>
          </a:pPr>
          <a:endParaRPr lang="fr-FR"/>
        </a:p>
      </c:txPr>
    </c:legend>
    <c:plotVisOnly val="1"/>
    <c:dispBlanksAs val="zero"/>
    <c:showDLblsOverMax val="1"/>
  </c:chart>
  <c:spPr>
    <a:solidFill>
      <a:srgbClr val="EFEFEF"/>
    </a:solidFill>
    <a:ln>
      <a:solidFill>
        <a:schemeClr val="tx1"/>
      </a:solid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lvl="0" algn="ctr" rtl="0">
              <a:defRPr lang="en-US" sz="4800" b="1" i="0" u="none" strike="noStrike" kern="1200" cap="all" baseline="0">
                <a:solidFill>
                  <a:srgbClr val="000000"/>
                </a:solidFill>
                <a:latin typeface="serif"/>
                <a:ea typeface="+mn-ea"/>
                <a:cs typeface="+mn-cs"/>
              </a:defRPr>
            </a:pPr>
            <a:r>
              <a:rPr lang="en-US" sz="4800" b="1" i="0" u="none" strike="noStrike" kern="1200" baseline="0">
                <a:solidFill>
                  <a:srgbClr val="000000"/>
                </a:solidFill>
                <a:latin typeface="serif"/>
                <a:ea typeface="+mn-ea"/>
                <a:cs typeface="+mn-cs"/>
              </a:rPr>
              <a:t>FAMILY Importance (%)</a:t>
            </a:r>
          </a:p>
        </c:rich>
      </c:tx>
      <c:overlay val="0"/>
      <c:spPr>
        <a:noFill/>
        <a:ln>
          <a:noFill/>
        </a:ln>
        <a:effectLst/>
      </c:spPr>
      <c:txPr>
        <a:bodyPr rot="0" spcFirstLastPara="1" vertOverflow="ellipsis" vert="horz" wrap="square" anchor="ctr" anchorCtr="1"/>
        <a:lstStyle/>
        <a:p>
          <a:pPr lvl="0" algn="ctr" rtl="0">
            <a:defRPr lang="en-US" sz="4800" b="1" i="0" u="none" strike="noStrike" kern="1200" cap="all" baseline="0">
              <a:solidFill>
                <a:srgbClr val="000000"/>
              </a:solidFill>
              <a:latin typeface="serif"/>
              <a:ea typeface="+mn-ea"/>
              <a:cs typeface="+mn-cs"/>
            </a:defRPr>
          </a:pPr>
          <a:endParaRPr lang="fr-FR"/>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7990879276196926E-2"/>
          <c:y val="0.13451145165549161"/>
          <c:w val="0.84660005783675296"/>
          <c:h val="0.7903934313984905"/>
        </c:manualLayout>
      </c:layout>
      <c:pie3DChart>
        <c:varyColors val="1"/>
        <c:ser>
          <c:idx val="0"/>
          <c:order val="0"/>
          <c:tx>
            <c:strRef>
              <c:f>'Risk Table'!$J$67</c:f>
              <c:strCache>
                <c:ptCount val="1"/>
                <c:pt idx="0">
                  <c:v>Importance (%)</c:v>
                </c:pt>
              </c:strCache>
            </c:strRef>
          </c:tx>
          <c:spPr>
            <a:ln w="38100">
              <a:solidFill>
                <a:schemeClr val="tx1"/>
              </a:solidFill>
            </a:ln>
          </c:spPr>
          <c:dPt>
            <c:idx val="0"/>
            <c:bubble3D val="0"/>
            <c:spPr>
              <a:solidFill>
                <a:schemeClr val="accent1">
                  <a:alpha val="90000"/>
                </a:schemeClr>
              </a:solidFill>
              <a:ln w="38100">
                <a:solidFill>
                  <a:schemeClr val="tx1"/>
                </a:solidFill>
              </a:ln>
              <a:effectLst>
                <a:innerShdw blurRad="114300">
                  <a:schemeClr val="accent1">
                    <a:lumMod val="75000"/>
                  </a:schemeClr>
                </a:innerShdw>
              </a:effectLst>
              <a:scene3d>
                <a:camera prst="orthographicFront"/>
                <a:lightRig rig="threePt" dir="t"/>
              </a:scene3d>
              <a:sp3d contourW="38100" prstMaterial="flat">
                <a:contourClr>
                  <a:schemeClr val="tx1"/>
                </a:contourClr>
              </a:sp3d>
            </c:spPr>
            <c:extLst>
              <c:ext xmlns:c16="http://schemas.microsoft.com/office/drawing/2014/chart" uri="{C3380CC4-5D6E-409C-BE32-E72D297353CC}">
                <c16:uniqueId val="{00000001-1729-4C02-9F9E-648230EC3AAC}"/>
              </c:ext>
            </c:extLst>
          </c:dPt>
          <c:dPt>
            <c:idx val="1"/>
            <c:bubble3D val="0"/>
            <c:spPr>
              <a:solidFill>
                <a:schemeClr val="accent2">
                  <a:alpha val="90000"/>
                </a:schemeClr>
              </a:solidFill>
              <a:ln w="38100">
                <a:solidFill>
                  <a:schemeClr val="tx1"/>
                </a:solidFill>
              </a:ln>
              <a:effectLst>
                <a:innerShdw blurRad="114300">
                  <a:schemeClr val="accent2">
                    <a:lumMod val="75000"/>
                  </a:schemeClr>
                </a:innerShdw>
              </a:effectLst>
              <a:scene3d>
                <a:camera prst="orthographicFront"/>
                <a:lightRig rig="threePt" dir="t"/>
              </a:scene3d>
              <a:sp3d contourW="38100" prstMaterial="flat">
                <a:contourClr>
                  <a:schemeClr val="tx1"/>
                </a:contourClr>
              </a:sp3d>
            </c:spPr>
            <c:extLst>
              <c:ext xmlns:c16="http://schemas.microsoft.com/office/drawing/2014/chart" uri="{C3380CC4-5D6E-409C-BE32-E72D297353CC}">
                <c16:uniqueId val="{00000003-1729-4C02-9F9E-648230EC3AAC}"/>
              </c:ext>
            </c:extLst>
          </c:dPt>
          <c:dPt>
            <c:idx val="2"/>
            <c:bubble3D val="0"/>
            <c:spPr>
              <a:solidFill>
                <a:schemeClr val="accent3">
                  <a:alpha val="90000"/>
                </a:schemeClr>
              </a:solidFill>
              <a:ln w="38100">
                <a:solidFill>
                  <a:schemeClr val="tx1"/>
                </a:solidFill>
              </a:ln>
              <a:effectLst>
                <a:innerShdw blurRad="114300">
                  <a:schemeClr val="accent3">
                    <a:lumMod val="75000"/>
                  </a:schemeClr>
                </a:innerShdw>
              </a:effectLst>
              <a:scene3d>
                <a:camera prst="orthographicFront"/>
                <a:lightRig rig="threePt" dir="t"/>
              </a:scene3d>
              <a:sp3d contourW="38100" prstMaterial="flat">
                <a:contourClr>
                  <a:schemeClr val="tx1"/>
                </a:contourClr>
              </a:sp3d>
            </c:spPr>
            <c:extLst>
              <c:ext xmlns:c16="http://schemas.microsoft.com/office/drawing/2014/chart" uri="{C3380CC4-5D6E-409C-BE32-E72D297353CC}">
                <c16:uniqueId val="{00000005-1729-4C02-9F9E-648230EC3AAC}"/>
              </c:ext>
            </c:extLst>
          </c:dPt>
          <c:dPt>
            <c:idx val="3"/>
            <c:bubble3D val="0"/>
            <c:spPr>
              <a:solidFill>
                <a:schemeClr val="accent4">
                  <a:alpha val="90000"/>
                </a:schemeClr>
              </a:solidFill>
              <a:ln w="38100">
                <a:solidFill>
                  <a:schemeClr val="tx1"/>
                </a:solidFill>
              </a:ln>
              <a:effectLst>
                <a:innerShdw blurRad="114300">
                  <a:schemeClr val="accent4">
                    <a:lumMod val="75000"/>
                  </a:schemeClr>
                </a:innerShdw>
              </a:effectLst>
              <a:scene3d>
                <a:camera prst="orthographicFront"/>
                <a:lightRig rig="threePt" dir="t"/>
              </a:scene3d>
              <a:sp3d contourW="38100" prstMaterial="flat">
                <a:contourClr>
                  <a:schemeClr val="tx1"/>
                </a:contourClr>
              </a:sp3d>
            </c:spPr>
            <c:extLst>
              <c:ext xmlns:c16="http://schemas.microsoft.com/office/drawing/2014/chart" uri="{C3380CC4-5D6E-409C-BE32-E72D297353CC}">
                <c16:uniqueId val="{00000007-1729-4C02-9F9E-648230EC3AAC}"/>
              </c:ext>
            </c:extLst>
          </c:dPt>
          <c:dPt>
            <c:idx val="4"/>
            <c:bubble3D val="0"/>
            <c:spPr>
              <a:solidFill>
                <a:schemeClr val="accent5">
                  <a:alpha val="90000"/>
                </a:schemeClr>
              </a:solidFill>
              <a:ln w="38100">
                <a:solidFill>
                  <a:schemeClr val="tx1"/>
                </a:solidFill>
              </a:ln>
              <a:effectLst>
                <a:innerShdw blurRad="114300">
                  <a:schemeClr val="accent5">
                    <a:lumMod val="75000"/>
                  </a:schemeClr>
                </a:innerShdw>
              </a:effectLst>
              <a:scene3d>
                <a:camera prst="orthographicFront"/>
                <a:lightRig rig="threePt" dir="t"/>
              </a:scene3d>
              <a:sp3d contourW="38100" prstMaterial="flat">
                <a:contourClr>
                  <a:schemeClr val="tx1"/>
                </a:contourClr>
              </a:sp3d>
            </c:spPr>
            <c:extLst>
              <c:ext xmlns:c16="http://schemas.microsoft.com/office/drawing/2014/chart" uri="{C3380CC4-5D6E-409C-BE32-E72D297353CC}">
                <c16:uniqueId val="{00000009-1729-4C02-9F9E-648230EC3AAC}"/>
              </c:ext>
            </c:extLst>
          </c:dPt>
          <c:dLbls>
            <c:dLbl>
              <c:idx val="0"/>
              <c:spPr>
                <a:solidFill>
                  <a:srgbClr val="FFFFFF">
                    <a:alpha val="90000"/>
                  </a:srgbClr>
                </a:solidFill>
                <a:ln w="12700" cap="flat" cmpd="sng" algn="ctr">
                  <a:solidFill>
                    <a:srgbClr val="4285F4"/>
                  </a:solidFill>
                  <a:round/>
                </a:ln>
                <a:effectLst>
                  <a:outerShdw blurRad="50800" dist="38100" dir="2700000" algn="tl" rotWithShape="0">
                    <a:srgbClr val="4285F4">
                      <a:lumMod val="75000"/>
                      <a:alpha val="40000"/>
                    </a:srgbClr>
                  </a:outerShdw>
                </a:effectLst>
              </c:spPr>
              <c:txPr>
                <a:bodyPr rot="0" spcFirstLastPara="1" vertOverflow="clip" horzOverflow="clip" vert="horz" wrap="square" lIns="38100" tIns="19050" rIns="38100" bIns="19050" anchor="ctr" anchorCtr="1">
                  <a:spAutoFit/>
                </a:bodyPr>
                <a:lstStyle/>
                <a:p>
                  <a:pPr>
                    <a:defRPr sz="2400" b="0" i="0" u="none" strike="noStrike" kern="1200" baseline="0">
                      <a:solidFill>
                        <a:schemeClr val="accent1"/>
                      </a:solidFill>
                      <a:effectLst/>
                      <a:latin typeface="+mn-lt"/>
                      <a:ea typeface="+mn-ea"/>
                      <a:cs typeface="+mn-cs"/>
                    </a:defRPr>
                  </a:pPr>
                  <a:endParaRPr lang="fr-FR"/>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ext>
                <c:ext xmlns:c16="http://schemas.microsoft.com/office/drawing/2014/chart" uri="{C3380CC4-5D6E-409C-BE32-E72D297353CC}">
                  <c16:uniqueId val="{00000001-1729-4C02-9F9E-648230EC3AAC}"/>
                </c:ext>
              </c:extLst>
            </c:dLbl>
            <c:dLbl>
              <c:idx val="1"/>
              <c:spPr>
                <a:solidFill>
                  <a:srgbClr val="FFFFFF">
                    <a:alpha val="90000"/>
                  </a:srgbClr>
                </a:solidFill>
                <a:ln w="12700" cap="flat" cmpd="sng" algn="ctr">
                  <a:solidFill>
                    <a:srgbClr val="4285F4"/>
                  </a:solidFill>
                  <a:round/>
                </a:ln>
                <a:effectLst>
                  <a:outerShdw blurRad="50800" dist="38100" dir="2700000" algn="tl" rotWithShape="0">
                    <a:srgbClr val="4285F4">
                      <a:lumMod val="75000"/>
                      <a:alpha val="40000"/>
                    </a:srgbClr>
                  </a:outerShdw>
                </a:effectLst>
              </c:spPr>
              <c:txPr>
                <a:bodyPr rot="0" spcFirstLastPara="1" vertOverflow="clip" horzOverflow="clip" vert="horz" wrap="square" lIns="38100" tIns="19050" rIns="38100" bIns="19050" anchor="ctr" anchorCtr="1">
                  <a:spAutoFit/>
                </a:bodyPr>
                <a:lstStyle/>
                <a:p>
                  <a:pPr>
                    <a:defRPr sz="2400" b="0" i="0" u="none" strike="noStrike" kern="1200" baseline="0">
                      <a:solidFill>
                        <a:schemeClr val="accent2"/>
                      </a:solidFill>
                      <a:effectLst/>
                      <a:latin typeface="+mn-lt"/>
                      <a:ea typeface="+mn-ea"/>
                      <a:cs typeface="+mn-cs"/>
                    </a:defRPr>
                  </a:pPr>
                  <a:endParaRPr lang="fr-FR"/>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ext>
                <c:ext xmlns:c16="http://schemas.microsoft.com/office/drawing/2014/chart" uri="{C3380CC4-5D6E-409C-BE32-E72D297353CC}">
                  <c16:uniqueId val="{00000003-1729-4C02-9F9E-648230EC3AAC}"/>
                </c:ext>
              </c:extLst>
            </c:dLbl>
            <c:dLbl>
              <c:idx val="2"/>
              <c:tx>
                <c:rich>
                  <a:bodyPr rot="0" spcFirstLastPara="1" vertOverflow="clip" horzOverflow="clip" vert="horz" wrap="square" lIns="38100" tIns="19050" rIns="38100" bIns="19050" anchor="ctr" anchorCtr="1">
                    <a:spAutoFit/>
                  </a:bodyPr>
                  <a:lstStyle/>
                  <a:p>
                    <a:pPr>
                      <a:defRPr sz="2400" b="0" i="0" u="none" strike="noStrike" kern="1200" baseline="0">
                        <a:solidFill>
                          <a:srgbClr val="FFC000"/>
                        </a:solidFill>
                        <a:effectLst/>
                        <a:latin typeface="+mn-lt"/>
                        <a:ea typeface="+mn-ea"/>
                        <a:cs typeface="+mn-cs"/>
                      </a:defRPr>
                    </a:pPr>
                    <a:fld id="{F27126E7-1FA6-40E3-8F86-B4F125BC9F96}" type="CATEGORYNAME">
                      <a:rPr lang="en-US" sz="2400">
                        <a:solidFill>
                          <a:schemeClr val="accent3">
                            <a:lumMod val="75000"/>
                          </a:schemeClr>
                        </a:solidFill>
                      </a:rPr>
                      <a:pPr>
                        <a:defRPr sz="2400">
                          <a:solidFill>
                            <a:srgbClr val="FFC000"/>
                          </a:solidFill>
                        </a:defRPr>
                      </a:pPr>
                      <a:t>[CATEGORY NAME]</a:t>
                    </a:fld>
                    <a:r>
                      <a:rPr lang="en-US" sz="2400" baseline="0"/>
                      <a:t>
</a:t>
                    </a:r>
                    <a:fld id="{473D6D01-C2D6-4F35-B504-A3CBCDC824DF}" type="PERCENTAGE">
                      <a:rPr lang="en-US" sz="2400" baseline="0">
                        <a:solidFill>
                          <a:schemeClr val="accent3">
                            <a:lumMod val="75000"/>
                          </a:schemeClr>
                        </a:solidFill>
                      </a:rPr>
                      <a:pPr>
                        <a:defRPr sz="2400">
                          <a:solidFill>
                            <a:srgbClr val="FFC000"/>
                          </a:solidFill>
                        </a:defRPr>
                      </a:pPr>
                      <a:t>[PERCENTAGE]</a:t>
                    </a:fld>
                    <a:endParaRPr lang="en-US" sz="2400" baseline="0"/>
                  </a:p>
                </c:rich>
              </c:tx>
              <c:spPr>
                <a:solidFill>
                  <a:srgbClr val="FFFFFF">
                    <a:alpha val="90000"/>
                  </a:srgbClr>
                </a:solidFill>
                <a:ln w="12700" cap="flat" cmpd="sng" algn="ctr">
                  <a:solidFill>
                    <a:srgbClr val="4285F4"/>
                  </a:solidFill>
                  <a:round/>
                </a:ln>
                <a:effectLst>
                  <a:outerShdw blurRad="50800" dist="38100" dir="2700000" algn="tl" rotWithShape="0">
                    <a:srgbClr val="4285F4">
                      <a:lumMod val="75000"/>
                      <a:alpha val="40000"/>
                    </a:srgbClr>
                  </a:outerShdw>
                </a:effectLst>
              </c:spPr>
              <c:txPr>
                <a:bodyPr rot="0" spcFirstLastPara="1" vertOverflow="clip" horzOverflow="clip" vert="horz" wrap="square" lIns="38100" tIns="19050" rIns="38100" bIns="19050" anchor="ctr" anchorCtr="1">
                  <a:spAutoFit/>
                </a:bodyPr>
                <a:lstStyle/>
                <a:p>
                  <a:pPr>
                    <a:defRPr sz="2400" b="0" i="0" u="none" strike="noStrike" kern="1200" baseline="0">
                      <a:solidFill>
                        <a:srgbClr val="FFC000"/>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15:dlblFieldTable/>
                  <c15:showDataLabelsRange val="0"/>
                </c:ext>
                <c:ext xmlns:c16="http://schemas.microsoft.com/office/drawing/2014/chart" uri="{C3380CC4-5D6E-409C-BE32-E72D297353CC}">
                  <c16:uniqueId val="{00000005-1729-4C02-9F9E-648230EC3AAC}"/>
                </c:ext>
              </c:extLst>
            </c:dLbl>
            <c:dLbl>
              <c:idx val="3"/>
              <c:spPr>
                <a:solidFill>
                  <a:srgbClr val="FFFFFF">
                    <a:alpha val="90000"/>
                  </a:srgbClr>
                </a:solidFill>
                <a:ln w="12700" cap="flat" cmpd="sng" algn="ctr">
                  <a:solidFill>
                    <a:srgbClr val="4285F4"/>
                  </a:solidFill>
                  <a:round/>
                </a:ln>
                <a:effectLst>
                  <a:outerShdw blurRad="50800" dist="38100" dir="2700000" algn="tl" rotWithShape="0">
                    <a:srgbClr val="4285F4">
                      <a:lumMod val="75000"/>
                      <a:alpha val="40000"/>
                    </a:srgbClr>
                  </a:outerShdw>
                </a:effectLst>
              </c:spPr>
              <c:txPr>
                <a:bodyPr rot="0" spcFirstLastPara="1" vertOverflow="clip" horzOverflow="clip" vert="horz" wrap="square" lIns="38100" tIns="19050" rIns="38100" bIns="19050" anchor="ctr" anchorCtr="1">
                  <a:spAutoFit/>
                </a:bodyPr>
                <a:lstStyle/>
                <a:p>
                  <a:pPr>
                    <a:defRPr sz="2400" b="0" i="0" u="none" strike="noStrike" kern="1200" baseline="0">
                      <a:solidFill>
                        <a:schemeClr val="accent4"/>
                      </a:solidFill>
                      <a:effectLst/>
                      <a:latin typeface="+mn-lt"/>
                      <a:ea typeface="+mn-ea"/>
                      <a:cs typeface="+mn-cs"/>
                    </a:defRPr>
                  </a:pPr>
                  <a:endParaRPr lang="fr-FR"/>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ext>
                <c:ext xmlns:c16="http://schemas.microsoft.com/office/drawing/2014/chart" uri="{C3380CC4-5D6E-409C-BE32-E72D297353CC}">
                  <c16:uniqueId val="{00000007-1729-4C02-9F9E-648230EC3AAC}"/>
                </c:ext>
              </c:extLst>
            </c:dLbl>
            <c:dLbl>
              <c:idx val="4"/>
              <c:spPr>
                <a:solidFill>
                  <a:srgbClr val="FFFFFF">
                    <a:alpha val="90000"/>
                  </a:srgbClr>
                </a:solidFill>
                <a:ln w="12700" cap="flat" cmpd="sng" algn="ctr">
                  <a:solidFill>
                    <a:srgbClr val="4285F4"/>
                  </a:solidFill>
                  <a:round/>
                </a:ln>
                <a:effectLst>
                  <a:outerShdw blurRad="50800" dist="38100" dir="2700000" algn="tl" rotWithShape="0">
                    <a:srgbClr val="4285F4">
                      <a:lumMod val="75000"/>
                      <a:alpha val="40000"/>
                    </a:srgbClr>
                  </a:outerShdw>
                </a:effectLst>
              </c:spPr>
              <c:txPr>
                <a:bodyPr rot="0" spcFirstLastPara="1" vertOverflow="clip" horzOverflow="clip" vert="horz" wrap="square" lIns="38100" tIns="19050" rIns="38100" bIns="19050" anchor="ctr" anchorCtr="1">
                  <a:spAutoFit/>
                </a:bodyPr>
                <a:lstStyle/>
                <a:p>
                  <a:pPr>
                    <a:defRPr sz="2400" b="0" i="0" u="none" strike="noStrike" kern="1200" baseline="0">
                      <a:solidFill>
                        <a:schemeClr val="accent5"/>
                      </a:solidFill>
                      <a:effectLst/>
                      <a:latin typeface="+mn-lt"/>
                      <a:ea typeface="+mn-ea"/>
                      <a:cs typeface="+mn-cs"/>
                    </a:defRPr>
                  </a:pPr>
                  <a:endParaRPr lang="fr-FR"/>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ext>
                <c:ext xmlns:c16="http://schemas.microsoft.com/office/drawing/2014/chart" uri="{C3380CC4-5D6E-409C-BE32-E72D297353CC}">
                  <c16:uniqueId val="{00000009-1729-4C02-9F9E-648230EC3AAC}"/>
                </c:ext>
              </c:extLst>
            </c:dLbl>
            <c:spPr>
              <a:solidFill>
                <a:srgbClr val="FFFFFF">
                  <a:alpha val="90000"/>
                </a:srgbClr>
              </a:solidFill>
              <a:ln w="12700" cap="flat" cmpd="sng" algn="ctr">
                <a:solidFill>
                  <a:srgbClr val="4285F4"/>
                </a:solidFill>
                <a:round/>
              </a:ln>
              <a:effectLst>
                <a:outerShdw blurRad="50800" dist="38100" dir="2700000" algn="tl" rotWithShape="0">
                  <a:srgbClr val="4285F4">
                    <a:lumMod val="75000"/>
                    <a:alpha val="40000"/>
                  </a:srgbClr>
                </a:outerShdw>
              </a:effectLst>
            </c:spPr>
            <c:txPr>
              <a:bodyPr rot="0" spcFirstLastPara="1" vertOverflow="clip" horzOverflow="clip" vert="horz" wrap="square" lIns="38100" tIns="19050" rIns="38100" bIns="19050" anchor="ctr" anchorCtr="1">
                <a:spAutoFit/>
              </a:bodyPr>
              <a:lstStyle/>
              <a:p>
                <a:pPr>
                  <a:defRPr sz="2400" b="0" i="0" u="none" strike="noStrike" kern="1200" baseline="0">
                    <a:solidFill>
                      <a:schemeClr val="accent1"/>
                    </a:solidFill>
                    <a:effectLst/>
                    <a:latin typeface="+mn-lt"/>
                    <a:ea typeface="+mn-ea"/>
                    <a:cs typeface="+mn-cs"/>
                  </a:defRPr>
                </a:pPr>
                <a:endParaRPr lang="fr-FR"/>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ext>
            </c:extLst>
          </c:dLbls>
          <c:cat>
            <c:strRef>
              <c:f>'Risk Table'!$H$68:$H$72</c:f>
              <c:strCache>
                <c:ptCount val="5"/>
                <c:pt idx="0">
                  <c:v>Operational Risks</c:v>
                </c:pt>
                <c:pt idx="1">
                  <c:v>Human Risks</c:v>
                </c:pt>
                <c:pt idx="2">
                  <c:v>Financial Risks</c:v>
                </c:pt>
                <c:pt idx="3">
                  <c:v>Legal Risks</c:v>
                </c:pt>
                <c:pt idx="4">
                  <c:v>Marketing Risks</c:v>
                </c:pt>
              </c:strCache>
            </c:strRef>
          </c:cat>
          <c:val>
            <c:numRef>
              <c:f>'Risk Table'!$J$68:$J$72</c:f>
              <c:numCache>
                <c:formatCode>0.00%</c:formatCode>
                <c:ptCount val="5"/>
                <c:pt idx="0">
                  <c:v>0.35</c:v>
                </c:pt>
                <c:pt idx="1">
                  <c:v>0.2</c:v>
                </c:pt>
                <c:pt idx="2">
                  <c:v>0.2</c:v>
                </c:pt>
                <c:pt idx="3">
                  <c:v>0.2</c:v>
                </c:pt>
                <c:pt idx="4">
                  <c:v>0.05</c:v>
                </c:pt>
              </c:numCache>
            </c:numRef>
          </c:val>
          <c:extLst>
            <c:ext xmlns:c16="http://schemas.microsoft.com/office/drawing/2014/chart" uri="{C3380CC4-5D6E-409C-BE32-E72D297353CC}">
              <c16:uniqueId val="{0000000A-1729-4C02-9F9E-648230EC3AAC}"/>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chemeClr val="tx1"/>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4</xdr:col>
      <xdr:colOff>1634143</xdr:colOff>
      <xdr:row>0</xdr:row>
      <xdr:rowOff>0</xdr:rowOff>
    </xdr:from>
    <xdr:ext cx="3879966" cy="2298124"/>
    <xdr:pic>
      <xdr:nvPicPr>
        <xdr:cNvPr id="6" name="image1.png" title="Image">
          <a:extLst>
            <a:ext uri="{FF2B5EF4-FFF2-40B4-BE49-F238E27FC236}">
              <a16:creationId xmlns:a16="http://schemas.microsoft.com/office/drawing/2014/main" id="{C2D5A296-9112-4969-8BD7-EAC84E4B37E5}"/>
            </a:ext>
          </a:extLst>
        </xdr:cNvPr>
        <xdr:cNvPicPr preferRelativeResize="0"/>
      </xdr:nvPicPr>
      <xdr:blipFill>
        <a:blip xmlns:r="http://schemas.openxmlformats.org/officeDocument/2006/relationships" r:embed="rId1" cstate="print"/>
        <a:stretch>
          <a:fillRect/>
        </a:stretch>
      </xdr:blipFill>
      <xdr:spPr>
        <a:xfrm>
          <a:off x="18536688" y="0"/>
          <a:ext cx="3879966" cy="2298124"/>
        </a:xfrm>
        <a:prstGeom prst="rect">
          <a:avLst/>
        </a:prstGeom>
        <a:noFill/>
      </xdr:spPr>
    </xdr:pic>
    <xdr:clientData fLocksWithSheet="0"/>
  </xdr:oneCellAnchor>
  <xdr:oneCellAnchor>
    <xdr:from>
      <xdr:col>0</xdr:col>
      <xdr:colOff>2340724</xdr:colOff>
      <xdr:row>0</xdr:row>
      <xdr:rowOff>0</xdr:rowOff>
    </xdr:from>
    <xdr:ext cx="3879966" cy="2298124"/>
    <xdr:pic>
      <xdr:nvPicPr>
        <xdr:cNvPr id="7" name="image1.png" title="Image">
          <a:extLst>
            <a:ext uri="{FF2B5EF4-FFF2-40B4-BE49-F238E27FC236}">
              <a16:creationId xmlns:a16="http://schemas.microsoft.com/office/drawing/2014/main" id="{E5D65D81-6D02-401D-8AE7-23950B892CA1}"/>
            </a:ext>
          </a:extLst>
        </xdr:cNvPr>
        <xdr:cNvPicPr preferRelativeResize="0"/>
      </xdr:nvPicPr>
      <xdr:blipFill>
        <a:blip xmlns:r="http://schemas.openxmlformats.org/officeDocument/2006/relationships" r:embed="rId1" cstate="print"/>
        <a:stretch>
          <a:fillRect/>
        </a:stretch>
      </xdr:blipFill>
      <xdr:spPr>
        <a:xfrm>
          <a:off x="2340724" y="0"/>
          <a:ext cx="3879966" cy="2298124"/>
        </a:xfrm>
        <a:prstGeom prst="rect">
          <a:avLst/>
        </a:prstGeom>
        <a:noFill/>
      </xdr:spPr>
    </xdr:pic>
    <xdr:clientData fLocksWithSheet="0"/>
  </xdr:oneCellAnchor>
  <xdr:oneCellAnchor>
    <xdr:from>
      <xdr:col>8</xdr:col>
      <xdr:colOff>3706783</xdr:colOff>
      <xdr:row>0</xdr:row>
      <xdr:rowOff>0</xdr:rowOff>
    </xdr:from>
    <xdr:ext cx="3879966" cy="2298124"/>
    <xdr:pic>
      <xdr:nvPicPr>
        <xdr:cNvPr id="8" name="image1.png" title="Image">
          <a:extLst>
            <a:ext uri="{FF2B5EF4-FFF2-40B4-BE49-F238E27FC236}">
              <a16:creationId xmlns:a16="http://schemas.microsoft.com/office/drawing/2014/main" id="{DA322BC3-C9D5-4762-929C-C4364C9ADE1E}"/>
            </a:ext>
          </a:extLst>
        </xdr:cNvPr>
        <xdr:cNvPicPr preferRelativeResize="0"/>
      </xdr:nvPicPr>
      <xdr:blipFill>
        <a:blip xmlns:r="http://schemas.openxmlformats.org/officeDocument/2006/relationships" r:embed="rId1" cstate="print"/>
        <a:stretch>
          <a:fillRect/>
        </a:stretch>
      </xdr:blipFill>
      <xdr:spPr>
        <a:xfrm>
          <a:off x="34887823" y="0"/>
          <a:ext cx="3879966" cy="2298124"/>
        </a:xfrm>
        <a:prstGeom prst="rect">
          <a:avLst/>
        </a:prstGeom>
        <a:noFill/>
      </xdr:spPr>
    </xdr:pic>
    <xdr:clientData fLocksWithSheet="0"/>
  </xdr:oneCellAnchor>
  <xdr:oneCellAnchor>
    <xdr:from>
      <xdr:col>4</xdr:col>
      <xdr:colOff>1761604</xdr:colOff>
      <xdr:row>0</xdr:row>
      <xdr:rowOff>0</xdr:rowOff>
    </xdr:from>
    <xdr:ext cx="3879966" cy="2298124"/>
    <xdr:pic>
      <xdr:nvPicPr>
        <xdr:cNvPr id="9" name="image1.png" title="Image">
          <a:extLst>
            <a:ext uri="{FF2B5EF4-FFF2-40B4-BE49-F238E27FC236}">
              <a16:creationId xmlns:a16="http://schemas.microsoft.com/office/drawing/2014/main" id="{BD7F69BD-7EF7-4E7E-9846-6C38577AD73B}"/>
            </a:ext>
          </a:extLst>
        </xdr:cNvPr>
        <xdr:cNvPicPr preferRelativeResize="0"/>
      </xdr:nvPicPr>
      <xdr:blipFill>
        <a:blip xmlns:r="http://schemas.openxmlformats.org/officeDocument/2006/relationships" r:embed="rId1" cstate="print"/>
        <a:stretch>
          <a:fillRect/>
        </a:stretch>
      </xdr:blipFill>
      <xdr:spPr>
        <a:xfrm>
          <a:off x="18678004" y="0"/>
          <a:ext cx="3879966" cy="2298124"/>
        </a:xfrm>
        <a:prstGeom prst="rect">
          <a:avLst/>
        </a:prstGeom>
        <a:noFill/>
      </xdr:spPr>
    </xdr:pic>
    <xdr:clientData fLocksWithSheet="0"/>
  </xdr:oneCellAnchor>
  <xdr:oneCellAnchor>
    <xdr:from>
      <xdr:col>12</xdr:col>
      <xdr:colOff>1390303</xdr:colOff>
      <xdr:row>0</xdr:row>
      <xdr:rowOff>0</xdr:rowOff>
    </xdr:from>
    <xdr:ext cx="3879966" cy="2298124"/>
    <xdr:pic>
      <xdr:nvPicPr>
        <xdr:cNvPr id="10" name="image1.png" title="Image">
          <a:extLst>
            <a:ext uri="{FF2B5EF4-FFF2-40B4-BE49-F238E27FC236}">
              <a16:creationId xmlns:a16="http://schemas.microsoft.com/office/drawing/2014/main" id="{6817D3AD-B6EF-4190-9B7F-615C42DAB955}"/>
            </a:ext>
          </a:extLst>
        </xdr:cNvPr>
        <xdr:cNvPicPr preferRelativeResize="0"/>
      </xdr:nvPicPr>
      <xdr:blipFill>
        <a:blip xmlns:r="http://schemas.openxmlformats.org/officeDocument/2006/relationships" r:embed="rId1" cstate="print"/>
        <a:stretch>
          <a:fillRect/>
        </a:stretch>
      </xdr:blipFill>
      <xdr:spPr>
        <a:xfrm>
          <a:off x="51072703" y="0"/>
          <a:ext cx="3879966" cy="2298124"/>
        </a:xfrm>
        <a:prstGeom prst="rect">
          <a:avLst/>
        </a:prstGeom>
        <a:noFill/>
      </xdr:spPr>
    </xdr:pic>
    <xdr:clientData fLocksWithSheet="0"/>
  </xdr:oneCellAnchor>
  <xdr:oneCellAnchor>
    <xdr:from>
      <xdr:col>8</xdr:col>
      <xdr:colOff>3681844</xdr:colOff>
      <xdr:row>0</xdr:row>
      <xdr:rowOff>0</xdr:rowOff>
    </xdr:from>
    <xdr:ext cx="3879966" cy="2298124"/>
    <xdr:pic>
      <xdr:nvPicPr>
        <xdr:cNvPr id="11" name="image1.png" title="Image">
          <a:extLst>
            <a:ext uri="{FF2B5EF4-FFF2-40B4-BE49-F238E27FC236}">
              <a16:creationId xmlns:a16="http://schemas.microsoft.com/office/drawing/2014/main" id="{BF0E4D3A-0925-46C5-88F0-38718CB40A20}"/>
            </a:ext>
          </a:extLst>
        </xdr:cNvPr>
        <xdr:cNvPicPr preferRelativeResize="0"/>
      </xdr:nvPicPr>
      <xdr:blipFill>
        <a:blip xmlns:r="http://schemas.openxmlformats.org/officeDocument/2006/relationships" r:embed="rId1" cstate="print"/>
        <a:stretch>
          <a:fillRect/>
        </a:stretch>
      </xdr:blipFill>
      <xdr:spPr>
        <a:xfrm>
          <a:off x="34862884" y="0"/>
          <a:ext cx="3879966" cy="2298124"/>
        </a:xfrm>
        <a:prstGeom prst="rect">
          <a:avLst/>
        </a:prstGeom>
        <a:noFill/>
      </xdr:spPr>
    </xdr:pic>
    <xdr:clientData fLocksWithSheet="0"/>
  </xdr:oneCellAnchor>
  <xdr:oneCellAnchor>
    <xdr:from>
      <xdr:col>16</xdr:col>
      <xdr:colOff>4743103</xdr:colOff>
      <xdr:row>0</xdr:row>
      <xdr:rowOff>0</xdr:rowOff>
    </xdr:from>
    <xdr:ext cx="3879966" cy="2298124"/>
    <xdr:pic>
      <xdr:nvPicPr>
        <xdr:cNvPr id="12" name="image1.png" title="Image">
          <a:extLst>
            <a:ext uri="{FF2B5EF4-FFF2-40B4-BE49-F238E27FC236}">
              <a16:creationId xmlns:a16="http://schemas.microsoft.com/office/drawing/2014/main" id="{367C4C40-E1D8-46E6-AE91-509CC9CFC267}"/>
            </a:ext>
          </a:extLst>
        </xdr:cNvPr>
        <xdr:cNvPicPr preferRelativeResize="0"/>
      </xdr:nvPicPr>
      <xdr:blipFill>
        <a:blip xmlns:r="http://schemas.openxmlformats.org/officeDocument/2006/relationships" r:embed="rId1" cstate="print"/>
        <a:stretch>
          <a:fillRect/>
        </a:stretch>
      </xdr:blipFill>
      <xdr:spPr>
        <a:xfrm>
          <a:off x="67501423" y="0"/>
          <a:ext cx="3879966" cy="2298124"/>
        </a:xfrm>
        <a:prstGeom prst="rect">
          <a:avLst/>
        </a:prstGeom>
        <a:noFill/>
      </xdr:spPr>
    </xdr:pic>
    <xdr:clientData fLocksWithSheet="0"/>
  </xdr:oneCellAnchor>
  <xdr:oneCellAnchor>
    <xdr:from>
      <xdr:col>12</xdr:col>
      <xdr:colOff>1609204</xdr:colOff>
      <xdr:row>0</xdr:row>
      <xdr:rowOff>0</xdr:rowOff>
    </xdr:from>
    <xdr:ext cx="3879966" cy="2298124"/>
    <xdr:pic>
      <xdr:nvPicPr>
        <xdr:cNvPr id="13" name="image1.png" title="Image">
          <a:extLst>
            <a:ext uri="{FF2B5EF4-FFF2-40B4-BE49-F238E27FC236}">
              <a16:creationId xmlns:a16="http://schemas.microsoft.com/office/drawing/2014/main" id="{D930772A-01B5-4A50-B5D6-0BEFBAF210AE}"/>
            </a:ext>
          </a:extLst>
        </xdr:cNvPr>
        <xdr:cNvPicPr preferRelativeResize="0"/>
      </xdr:nvPicPr>
      <xdr:blipFill>
        <a:blip xmlns:r="http://schemas.openxmlformats.org/officeDocument/2006/relationships" r:embed="rId1" cstate="print"/>
        <a:stretch>
          <a:fillRect/>
        </a:stretch>
      </xdr:blipFill>
      <xdr:spPr>
        <a:xfrm>
          <a:off x="51291604" y="0"/>
          <a:ext cx="3879966" cy="2298124"/>
        </a:xfrm>
        <a:prstGeom prst="rect">
          <a:avLst/>
        </a:prstGeom>
        <a:noFill/>
      </xdr:spPr>
    </xdr:pic>
    <xdr:clientData fLocksWithSheet="0"/>
  </xdr:oneCellAnchor>
  <xdr:oneCellAnchor>
    <xdr:from>
      <xdr:col>22</xdr:col>
      <xdr:colOff>567343</xdr:colOff>
      <xdr:row>0</xdr:row>
      <xdr:rowOff>0</xdr:rowOff>
    </xdr:from>
    <xdr:ext cx="3879966" cy="2298124"/>
    <xdr:pic>
      <xdr:nvPicPr>
        <xdr:cNvPr id="14" name="image1.png" title="Image">
          <a:extLst>
            <a:ext uri="{FF2B5EF4-FFF2-40B4-BE49-F238E27FC236}">
              <a16:creationId xmlns:a16="http://schemas.microsoft.com/office/drawing/2014/main" id="{09F6013D-E748-4648-91A0-06D6BECB7D32}"/>
            </a:ext>
          </a:extLst>
        </xdr:cNvPr>
        <xdr:cNvPicPr preferRelativeResize="0"/>
      </xdr:nvPicPr>
      <xdr:blipFill>
        <a:blip xmlns:r="http://schemas.openxmlformats.org/officeDocument/2006/relationships" r:embed="rId1" cstate="print"/>
        <a:stretch>
          <a:fillRect/>
        </a:stretch>
      </xdr:blipFill>
      <xdr:spPr>
        <a:xfrm>
          <a:off x="83808223" y="0"/>
          <a:ext cx="3879966" cy="2298124"/>
        </a:xfrm>
        <a:prstGeom prst="rect">
          <a:avLst/>
        </a:prstGeom>
        <a:noFill/>
      </xdr:spPr>
    </xdr:pic>
    <xdr:clientData fLocksWithSheet="0"/>
  </xdr:oneCellAnchor>
  <xdr:oneCellAnchor>
    <xdr:from>
      <xdr:col>16</xdr:col>
      <xdr:colOff>4840084</xdr:colOff>
      <xdr:row>0</xdr:row>
      <xdr:rowOff>0</xdr:rowOff>
    </xdr:from>
    <xdr:ext cx="3879966" cy="2298124"/>
    <xdr:pic>
      <xdr:nvPicPr>
        <xdr:cNvPr id="15" name="image1.png" title="Image">
          <a:extLst>
            <a:ext uri="{FF2B5EF4-FFF2-40B4-BE49-F238E27FC236}">
              <a16:creationId xmlns:a16="http://schemas.microsoft.com/office/drawing/2014/main" id="{D576AB35-87CB-4603-B083-6D0000CB3546}"/>
            </a:ext>
          </a:extLst>
        </xdr:cNvPr>
        <xdr:cNvPicPr preferRelativeResize="0"/>
      </xdr:nvPicPr>
      <xdr:blipFill>
        <a:blip xmlns:r="http://schemas.openxmlformats.org/officeDocument/2006/relationships" r:embed="rId1" cstate="print"/>
        <a:stretch>
          <a:fillRect/>
        </a:stretch>
      </xdr:blipFill>
      <xdr:spPr>
        <a:xfrm>
          <a:off x="67598404" y="0"/>
          <a:ext cx="3879966" cy="2298124"/>
        </a:xfrm>
        <a:prstGeom prst="rect">
          <a:avLst/>
        </a:prstGeom>
        <a:noFill/>
      </xdr:spPr>
    </xdr:pic>
    <xdr:clientData fLocksWithSheet="0"/>
  </xdr:oneCellAnchor>
  <xdr:oneCellAnchor>
    <xdr:from>
      <xdr:col>28</xdr:col>
      <xdr:colOff>2213263</xdr:colOff>
      <xdr:row>0</xdr:row>
      <xdr:rowOff>0</xdr:rowOff>
    </xdr:from>
    <xdr:ext cx="3879966" cy="2298124"/>
    <xdr:pic>
      <xdr:nvPicPr>
        <xdr:cNvPr id="16" name="image1.png" title="Image">
          <a:extLst>
            <a:ext uri="{FF2B5EF4-FFF2-40B4-BE49-F238E27FC236}">
              <a16:creationId xmlns:a16="http://schemas.microsoft.com/office/drawing/2014/main" id="{EC9D1E62-5B9E-47CE-8230-98D8C08A7CE6}"/>
            </a:ext>
          </a:extLst>
        </xdr:cNvPr>
        <xdr:cNvPicPr preferRelativeResize="0"/>
      </xdr:nvPicPr>
      <xdr:blipFill>
        <a:blip xmlns:r="http://schemas.openxmlformats.org/officeDocument/2006/relationships" r:embed="rId1" cstate="print"/>
        <a:stretch>
          <a:fillRect/>
        </a:stretch>
      </xdr:blipFill>
      <xdr:spPr>
        <a:xfrm>
          <a:off x="100267423" y="0"/>
          <a:ext cx="3879966" cy="2298124"/>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642331</xdr:colOff>
      <xdr:row>41</xdr:row>
      <xdr:rowOff>152400</xdr:rowOff>
    </xdr:from>
    <xdr:ext cx="18712469" cy="9829800"/>
    <xdr:graphicFrame macro="">
      <xdr:nvGraphicFramePr>
        <xdr:cNvPr id="2" name="Chart 1" titl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10</xdr:col>
      <xdr:colOff>4661535</xdr:colOff>
      <xdr:row>42</xdr:row>
      <xdr:rowOff>76200</xdr:rowOff>
    </xdr:from>
    <xdr:ext cx="21932265" cy="9604022"/>
    <xdr:graphicFrame macro="">
      <xdr:nvGraphicFramePr>
        <xdr:cNvPr id="3" name="Chart 2" title="Chart">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10</xdr:col>
      <xdr:colOff>4337684</xdr:colOff>
      <xdr:row>99</xdr:row>
      <xdr:rowOff>189089</xdr:rowOff>
    </xdr:from>
    <xdr:ext cx="21981796" cy="12539133"/>
    <xdr:graphicFrame macro="">
      <xdr:nvGraphicFramePr>
        <xdr:cNvPr id="5" name="Chart 4" title="Chart">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twoCellAnchor>
    <xdr:from>
      <xdr:col>1</xdr:col>
      <xdr:colOff>201084</xdr:colOff>
      <xdr:row>100</xdr:row>
      <xdr:rowOff>39720</xdr:rowOff>
    </xdr:from>
    <xdr:to>
      <xdr:col>10</xdr:col>
      <xdr:colOff>1363134</xdr:colOff>
      <xdr:row>162</xdr:row>
      <xdr:rowOff>112889</xdr:rowOff>
    </xdr:to>
    <xdr:graphicFrame macro="">
      <xdr:nvGraphicFramePr>
        <xdr:cNvPr id="6" name="Chart 5">
          <a:extLst>
            <a:ext uri="{FF2B5EF4-FFF2-40B4-BE49-F238E27FC236}">
              <a16:creationId xmlns:a16="http://schemas.microsoft.com/office/drawing/2014/main" id="{26DE85CA-99D6-4D96-9DCC-E3B57359C8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6D9EEB"/>
    <outlinePr summaryBelow="0" summaryRight="0"/>
  </sheetPr>
  <dimension ref="A6:AF110"/>
  <sheetViews>
    <sheetView topLeftCell="T16" zoomScale="40" zoomScaleNormal="40" workbookViewId="0">
      <selection activeCell="AA47" sqref="AA47"/>
    </sheetView>
  </sheetViews>
  <sheetFormatPr defaultColWidth="12.6640625" defaultRowHeight="15.75" customHeight="1"/>
  <cols>
    <col min="1" max="1" width="81" bestFit="1" customWidth="1"/>
    <col min="2" max="2" width="15.88671875" customWidth="1"/>
    <col min="3" max="3" width="42.21875" bestFit="1" customWidth="1"/>
    <col min="4" max="4" width="107.33203125" customWidth="1"/>
    <col min="5" max="5" width="109.77734375" customWidth="1"/>
    <col min="6" max="6" width="39.6640625" customWidth="1"/>
    <col min="7" max="7" width="28.77734375" bestFit="1" customWidth="1"/>
    <col min="8" max="8" width="32.6640625" bestFit="1" customWidth="1"/>
    <col min="9" max="9" width="113.21875" bestFit="1" customWidth="1"/>
    <col min="10" max="10" width="50.5546875" bestFit="1" customWidth="1"/>
    <col min="11" max="12" width="52.88671875" customWidth="1"/>
    <col min="13" max="13" width="42.77734375" bestFit="1" customWidth="1"/>
    <col min="14" max="14" width="28" bestFit="1" customWidth="1"/>
    <col min="15" max="15" width="37.33203125" bestFit="1" customWidth="1"/>
    <col min="16" max="16" width="100.88671875" bestFit="1" customWidth="1"/>
    <col min="17" max="17" width="93.109375" bestFit="1" customWidth="1"/>
    <col min="18" max="18" width="45.109375" bestFit="1" customWidth="1"/>
    <col min="19" max="19" width="38.21875" bestFit="1" customWidth="1"/>
    <col min="20" max="20" width="64.88671875" customWidth="1"/>
    <col min="21" max="21" width="37.44140625" bestFit="1" customWidth="1"/>
    <col min="22" max="22" width="54.6640625" bestFit="1" customWidth="1"/>
    <col min="23" max="23" width="37.44140625" customWidth="1"/>
    <col min="24" max="24" width="41.88671875" bestFit="1" customWidth="1"/>
    <col min="25" max="25" width="28.5546875" bestFit="1" customWidth="1"/>
    <col min="26" max="26" width="43.33203125" bestFit="1" customWidth="1"/>
    <col min="27" max="27" width="30.77734375" bestFit="1" customWidth="1"/>
    <col min="28" max="28" width="50.21875" bestFit="1" customWidth="1"/>
    <col min="29" max="29" width="73" bestFit="1" customWidth="1"/>
    <col min="30" max="30" width="37.33203125" bestFit="1" customWidth="1"/>
  </cols>
  <sheetData>
    <row r="6" spans="1:30" ht="15.75" customHeight="1">
      <c r="T6" s="35"/>
    </row>
    <row r="7" spans="1:30" ht="15.75" customHeight="1">
      <c r="M7" s="35"/>
    </row>
    <row r="8" spans="1:30" ht="13.2"/>
    <row r="9" spans="1:30" ht="61.2" customHeight="1"/>
    <row r="10" spans="1:30" ht="7.2" customHeight="1"/>
    <row r="11" spans="1:30" ht="13.2" hidden="1"/>
    <row r="12" spans="1:30" ht="49.2" customHeight="1">
      <c r="A12" s="46" t="s">
        <v>215</v>
      </c>
      <c r="B12" s="46" t="s">
        <v>0</v>
      </c>
      <c r="C12" s="47" t="s">
        <v>1</v>
      </c>
      <c r="D12" s="46" t="s">
        <v>2</v>
      </c>
      <c r="E12" s="46" t="s">
        <v>220</v>
      </c>
      <c r="F12" s="46" t="s">
        <v>3</v>
      </c>
      <c r="G12" s="46" t="s">
        <v>4</v>
      </c>
      <c r="H12" s="46" t="s">
        <v>5</v>
      </c>
      <c r="I12" s="46" t="s">
        <v>216</v>
      </c>
      <c r="J12" s="48" t="s">
        <v>221</v>
      </c>
      <c r="K12" s="49" t="s">
        <v>225</v>
      </c>
      <c r="L12" s="49" t="s">
        <v>231</v>
      </c>
      <c r="M12" s="49" t="s">
        <v>228</v>
      </c>
      <c r="N12" s="49" t="s">
        <v>6</v>
      </c>
      <c r="O12" s="50" t="s">
        <v>222</v>
      </c>
      <c r="P12" s="50" t="s">
        <v>226</v>
      </c>
      <c r="Q12" s="50" t="s">
        <v>227</v>
      </c>
      <c r="R12" s="46" t="s">
        <v>223</v>
      </c>
      <c r="S12" s="46" t="s">
        <v>224</v>
      </c>
      <c r="T12" s="48" t="s">
        <v>217</v>
      </c>
      <c r="U12" s="49" t="s">
        <v>232</v>
      </c>
      <c r="V12" s="49" t="s">
        <v>225</v>
      </c>
      <c r="W12" s="49" t="s">
        <v>231</v>
      </c>
      <c r="X12" s="49" t="s">
        <v>228</v>
      </c>
      <c r="Y12" s="49" t="s">
        <v>6</v>
      </c>
      <c r="Z12" s="49" t="s">
        <v>233</v>
      </c>
      <c r="AA12" s="49" t="s">
        <v>218</v>
      </c>
      <c r="AB12" s="49" t="s">
        <v>229</v>
      </c>
      <c r="AC12" s="49" t="s">
        <v>230</v>
      </c>
      <c r="AD12" s="49" t="s">
        <v>222</v>
      </c>
    </row>
    <row r="13" spans="1:30" ht="40.200000000000003" customHeight="1">
      <c r="A13" s="105" t="s">
        <v>7</v>
      </c>
      <c r="B13" s="3" t="s">
        <v>8</v>
      </c>
      <c r="C13" s="4" t="s">
        <v>9</v>
      </c>
      <c r="D13" s="5" t="s">
        <v>10</v>
      </c>
      <c r="E13" s="5" t="s">
        <v>11</v>
      </c>
      <c r="F13" s="6" t="s">
        <v>12</v>
      </c>
      <c r="G13" s="6" t="s">
        <v>13</v>
      </c>
      <c r="H13" s="6" t="s">
        <v>13</v>
      </c>
      <c r="I13" s="7" t="str">
        <f t="shared" ref="I13:I32" si="0">INDEX($H$52:$L$56,MATCH(G13,$G$52:$G$56,0),MATCH(H13,$H$51:$L$51,0))</f>
        <v>Critical</v>
      </c>
      <c r="J13" s="64">
        <f t="shared" ref="J13:J32" si="1">VLOOKUP(I13, $H$61:$J$64, 3, FALSE)</f>
        <v>7</v>
      </c>
      <c r="K13" s="106">
        <f xml:space="preserve"> AVERAGE(J13:J16)</f>
        <v>6.5</v>
      </c>
      <c r="L13" s="108" t="str" cm="1">
        <f t="array" ref="L13">_xlfn.XLOOKUP(1, (K13&gt;=$G$77:$G$80)*(K13&lt;=$H$77:$H$80), $I$77:$I$80)</f>
        <v>Critical</v>
      </c>
      <c r="M13" s="87">
        <f>VLOOKUP($A13, $H$68:$J$72, 3, FALSE)</f>
        <v>0.35</v>
      </c>
      <c r="N13" s="64">
        <f>IF(J13&lt;&gt;"",J13*$M$13,"")</f>
        <v>2.4499999999999997</v>
      </c>
      <c r="O13" s="106">
        <f>AVERAGE(N13:N16)</f>
        <v>2.2749999999999999</v>
      </c>
      <c r="P13" s="5" t="s">
        <v>14</v>
      </c>
      <c r="Q13" s="5" t="s">
        <v>15</v>
      </c>
      <c r="R13" s="6" t="s">
        <v>16</v>
      </c>
      <c r="S13" s="6" t="s">
        <v>17</v>
      </c>
      <c r="T13" s="7" t="str">
        <f t="shared" ref="T13:T32" si="2">INDEX($H$52:$L$56,MATCH(R13,$G$52:$G$56,0),MATCH(S13,$H$51:$L$51,0))</f>
        <v>Sustainable</v>
      </c>
      <c r="U13" s="64">
        <f t="shared" ref="U13:U32" si="3">VLOOKUP(T13, $H$61:$J$64, 3, FALSE)</f>
        <v>0</v>
      </c>
      <c r="V13" s="106">
        <f xml:space="preserve"> AVERAGE(U13:U16)</f>
        <v>1.75</v>
      </c>
      <c r="W13" s="111" t="str" cm="1">
        <f t="array" ref="W13">_xlfn.XLOOKUP(1, (V13&gt;=$G$77:$G$80)*(V13&lt;=$H$77:$H$80), $I$77:$I$80)</f>
        <v>Sustainable</v>
      </c>
      <c r="X13" s="87">
        <f>VLOOKUP($A13, $H$68:$J$72, 3, FALSE)</f>
        <v>0.35</v>
      </c>
      <c r="Y13" s="66">
        <f t="shared" ref="Y13:Y16" si="4">IF(U13&lt;&gt;"",U13*$X$13,"")</f>
        <v>0</v>
      </c>
      <c r="Z13" s="67">
        <f xml:space="preserve"> Y13-N13</f>
        <v>-2.4499999999999997</v>
      </c>
      <c r="AA13" s="59" t="str" cm="1">
        <f t="array" ref="AA13">INDEX($I$84:$I$88,MATCH(1,($Z13&gt;=$G$84:$G$88)*($Z13&lt;=$H$84:$H$88),0))</f>
        <v>Strong Improvement</v>
      </c>
      <c r="AB13" s="141">
        <f>AVERAGE(Z13:Z16)</f>
        <v>-1.6624999999999996</v>
      </c>
      <c r="AC13" s="117" t="str" cm="1">
        <f t="array" ref="AC13">INDEX($I$84:$I$88,MATCH(1,($AB13&gt;=$G$84:$G$88)*($AB13&lt;=$H$84:$H$88),0))</f>
        <v>Strong Improvement</v>
      </c>
      <c r="AD13" s="90">
        <f>AVERAGE(Y13:Y16)</f>
        <v>0.61250000000000004</v>
      </c>
    </row>
    <row r="14" spans="1:30" ht="52.2" customHeight="1">
      <c r="A14" s="94"/>
      <c r="B14" s="8" t="s">
        <v>18</v>
      </c>
      <c r="C14" s="4" t="s">
        <v>19</v>
      </c>
      <c r="D14" s="5" t="s">
        <v>20</v>
      </c>
      <c r="E14" s="5" t="s">
        <v>21</v>
      </c>
      <c r="F14" s="6" t="s">
        <v>12</v>
      </c>
      <c r="G14" s="6" t="s">
        <v>13</v>
      </c>
      <c r="H14" s="6" t="s">
        <v>13</v>
      </c>
      <c r="I14" s="7" t="str">
        <f t="shared" si="0"/>
        <v>Critical</v>
      </c>
      <c r="J14" s="64">
        <f t="shared" si="1"/>
        <v>7</v>
      </c>
      <c r="K14" s="96"/>
      <c r="L14" s="109"/>
      <c r="M14" s="88"/>
      <c r="N14" s="64">
        <f>IF(J14&lt;&gt;"",J14*$M$13,"")</f>
        <v>2.4499999999999997</v>
      </c>
      <c r="O14" s="88"/>
      <c r="P14" s="5" t="s">
        <v>22</v>
      </c>
      <c r="Q14" s="5" t="s">
        <v>23</v>
      </c>
      <c r="R14" s="6" t="s">
        <v>17</v>
      </c>
      <c r="S14" s="6" t="s">
        <v>24</v>
      </c>
      <c r="T14" s="7" t="str">
        <f t="shared" si="2"/>
        <v>Moderate</v>
      </c>
      <c r="U14" s="64">
        <f t="shared" si="3"/>
        <v>2</v>
      </c>
      <c r="V14" s="96"/>
      <c r="W14" s="112"/>
      <c r="X14" s="88"/>
      <c r="Y14" s="66">
        <f t="shared" si="4"/>
        <v>0.7</v>
      </c>
      <c r="Z14" s="67">
        <f t="shared" ref="Z14:Z32" si="5" xml:space="preserve"> Y14-N14</f>
        <v>-1.7499999999999998</v>
      </c>
      <c r="AA14" s="59" t="str" cm="1">
        <f t="array" ref="AA14">INDEX($I$84:$I$88,MATCH(1,($Z14&gt;=$G$84:$G$88)*($Z14&lt;=$H$84:$H$88),0))</f>
        <v>Strong Improvement</v>
      </c>
      <c r="AB14" s="142"/>
      <c r="AC14" s="118"/>
      <c r="AD14" s="91"/>
    </row>
    <row r="15" spans="1:30" ht="36.6" customHeight="1">
      <c r="A15" s="94"/>
      <c r="B15" s="8" t="s">
        <v>25</v>
      </c>
      <c r="C15" s="4" t="s">
        <v>26</v>
      </c>
      <c r="D15" s="5" t="s">
        <v>27</v>
      </c>
      <c r="E15" s="5" t="s">
        <v>28</v>
      </c>
      <c r="F15" s="6" t="s">
        <v>29</v>
      </c>
      <c r="G15" s="6" t="s">
        <v>24</v>
      </c>
      <c r="H15" s="6" t="s">
        <v>30</v>
      </c>
      <c r="I15" s="7" t="str">
        <f t="shared" si="0"/>
        <v>Critical</v>
      </c>
      <c r="J15" s="64">
        <f t="shared" si="1"/>
        <v>7</v>
      </c>
      <c r="K15" s="96"/>
      <c r="L15" s="109"/>
      <c r="M15" s="88"/>
      <c r="N15" s="64">
        <f>IF(J15&lt;&gt;"",J15*$M$13,"")</f>
        <v>2.4499999999999997</v>
      </c>
      <c r="O15" s="88"/>
      <c r="P15" s="5" t="s">
        <v>31</v>
      </c>
      <c r="Q15" s="5" t="s">
        <v>32</v>
      </c>
      <c r="R15" s="6" t="s">
        <v>17</v>
      </c>
      <c r="S15" s="6" t="s">
        <v>13</v>
      </c>
      <c r="T15" s="7" t="str">
        <f t="shared" si="2"/>
        <v>Severe</v>
      </c>
      <c r="U15" s="64">
        <f t="shared" si="3"/>
        <v>5</v>
      </c>
      <c r="V15" s="96"/>
      <c r="W15" s="112"/>
      <c r="X15" s="88"/>
      <c r="Y15" s="66">
        <f>IF(U15&lt;&gt;"",U15*$X$13,"")</f>
        <v>1.75</v>
      </c>
      <c r="Z15" s="67">
        <f t="shared" si="5"/>
        <v>-0.69999999999999973</v>
      </c>
      <c r="AA15" s="59" t="str" cm="1">
        <f t="array" ref="AA15">INDEX($I$84:$I$88,MATCH(1,($Z15&gt;=$G$84:$G$88)*($Z15&lt;=$H$84:$H$88),0))</f>
        <v>Strong Improvement</v>
      </c>
      <c r="AB15" s="142"/>
      <c r="AC15" s="118"/>
      <c r="AD15" s="91"/>
    </row>
    <row r="16" spans="1:30" ht="43.8" customHeight="1">
      <c r="A16" s="95"/>
      <c r="B16" s="9" t="s">
        <v>33</v>
      </c>
      <c r="C16" s="10" t="s">
        <v>34</v>
      </c>
      <c r="D16" s="11" t="s">
        <v>35</v>
      </c>
      <c r="E16" s="11" t="s">
        <v>36</v>
      </c>
      <c r="F16" s="12" t="s">
        <v>37</v>
      </c>
      <c r="G16" s="6" t="s">
        <v>30</v>
      </c>
      <c r="H16" s="6" t="s">
        <v>24</v>
      </c>
      <c r="I16" s="7" t="str">
        <f t="shared" si="0"/>
        <v>Severe</v>
      </c>
      <c r="J16" s="64">
        <f t="shared" si="1"/>
        <v>5</v>
      </c>
      <c r="K16" s="107"/>
      <c r="L16" s="110"/>
      <c r="M16" s="89"/>
      <c r="N16" s="64">
        <f>IF(J16&lt;&gt;"",J16*$M$13,"")</f>
        <v>1.75</v>
      </c>
      <c r="O16" s="89"/>
      <c r="P16" s="11" t="s">
        <v>38</v>
      </c>
      <c r="Q16" s="11" t="s">
        <v>39</v>
      </c>
      <c r="R16" s="6" t="s">
        <v>24</v>
      </c>
      <c r="S16" s="6" t="s">
        <v>16</v>
      </c>
      <c r="T16" s="7" t="str">
        <f t="shared" si="2"/>
        <v>Sustainable</v>
      </c>
      <c r="U16" s="64">
        <f t="shared" si="3"/>
        <v>0</v>
      </c>
      <c r="V16" s="107"/>
      <c r="W16" s="113"/>
      <c r="X16" s="89"/>
      <c r="Y16" s="66">
        <f t="shared" si="4"/>
        <v>0</v>
      </c>
      <c r="Z16" s="67">
        <f t="shared" si="5"/>
        <v>-1.75</v>
      </c>
      <c r="AA16" s="59" t="str" cm="1">
        <f t="array" ref="AA16">INDEX($I$84:$I$88,MATCH(1,($Z16&gt;=$G$84:$G$88)*($Z16&lt;=$H$84:$H$88),0))</f>
        <v>Strong Improvement</v>
      </c>
      <c r="AB16" s="143"/>
      <c r="AC16" s="119"/>
      <c r="AD16" s="92"/>
    </row>
    <row r="17" spans="1:30" ht="60">
      <c r="A17" s="93" t="s">
        <v>40</v>
      </c>
      <c r="B17" s="9" t="s">
        <v>41</v>
      </c>
      <c r="C17" s="10" t="s">
        <v>42</v>
      </c>
      <c r="D17" s="11" t="s">
        <v>43</v>
      </c>
      <c r="E17" s="11" t="s">
        <v>44</v>
      </c>
      <c r="F17" s="12" t="s">
        <v>45</v>
      </c>
      <c r="G17" s="6" t="s">
        <v>30</v>
      </c>
      <c r="H17" s="6" t="s">
        <v>13</v>
      </c>
      <c r="I17" s="7" t="str">
        <f t="shared" si="0"/>
        <v>Critical</v>
      </c>
      <c r="J17" s="64">
        <f t="shared" si="1"/>
        <v>7</v>
      </c>
      <c r="K17" s="106">
        <f t="shared" ref="K17" si="6" xml:space="preserve"> AVERAGE(J17:J20)</f>
        <v>5.25</v>
      </c>
      <c r="L17" s="108" t="str" cm="1">
        <f t="array" ref="L17">_xlfn.XLOOKUP(1, (K17&gt;=$G$77:$G$80)*(K17&lt;=$H$77:$H$80), $I$77:$I$80)</f>
        <v>Severe</v>
      </c>
      <c r="M17" s="87">
        <f>VLOOKUP($A17, $H$68:$J$72, 3, FALSE)</f>
        <v>0.05</v>
      </c>
      <c r="N17" s="64">
        <f>IF(J17&lt;&gt;"",J17*$M$17,"")</f>
        <v>0.35000000000000003</v>
      </c>
      <c r="O17" s="96">
        <f>AVERAGE(N17:N20)</f>
        <v>0.26250000000000001</v>
      </c>
      <c r="P17" s="11" t="s">
        <v>46</v>
      </c>
      <c r="Q17" s="11" t="s">
        <v>47</v>
      </c>
      <c r="R17" s="6" t="s">
        <v>30</v>
      </c>
      <c r="S17" s="6" t="s">
        <v>17</v>
      </c>
      <c r="T17" s="7" t="str">
        <f t="shared" si="2"/>
        <v>Moderate</v>
      </c>
      <c r="U17" s="64">
        <f t="shared" si="3"/>
        <v>2</v>
      </c>
      <c r="V17" s="106">
        <f t="shared" ref="V17" si="7" xml:space="preserve"> AVERAGE(U17:U20)</f>
        <v>2.25</v>
      </c>
      <c r="W17" s="111" t="str" cm="1">
        <f t="array" ref="W17">_xlfn.XLOOKUP(1, (V17&gt;=$G$77:$G$80)*(V17&lt;=$H$77:$H$80), $I$77:$I$80)</f>
        <v>Moderate</v>
      </c>
      <c r="X17" s="87">
        <f t="shared" ref="X17" si="8">VLOOKUP($A17, $H$68:$J$72, 3, FALSE)</f>
        <v>0.05</v>
      </c>
      <c r="Y17" s="66">
        <f t="shared" ref="Y17:Y20" si="9">IF(U17&lt;&gt;"",U17*$X$17,"")</f>
        <v>0.1</v>
      </c>
      <c r="Z17" s="67">
        <f t="shared" si="5"/>
        <v>-0.25</v>
      </c>
      <c r="AA17" s="59" t="str" cm="1">
        <f t="array" ref="AA17">INDEX($I$84:$I$88,MATCH(1,($Z17&gt;=$G$84:$G$88)*($Z17&lt;=$H$84:$H$88),0))</f>
        <v>Moderate Improvement</v>
      </c>
      <c r="AB17" s="141">
        <f>AVERAGE(Z17:Z20)</f>
        <v>-0.15</v>
      </c>
      <c r="AC17" s="117" t="str" cm="1">
        <f t="array" ref="AC17">INDEX($I$84:$I$88,MATCH(1,($AB17&gt;=$G$84:$G$88)*($AB17&lt;=$H$84:$H$88),0))</f>
        <v>Slight Improvement</v>
      </c>
      <c r="AD17" s="90">
        <f>AVERAGE(Y17:Y20)</f>
        <v>0.1125</v>
      </c>
    </row>
    <row r="18" spans="1:30" ht="60">
      <c r="A18" s="94"/>
      <c r="B18" s="8" t="s">
        <v>48</v>
      </c>
      <c r="C18" s="4" t="s">
        <v>49</v>
      </c>
      <c r="D18" s="5" t="s">
        <v>50</v>
      </c>
      <c r="E18" s="5" t="s">
        <v>51</v>
      </c>
      <c r="F18" s="6" t="s">
        <v>52</v>
      </c>
      <c r="G18" s="6" t="s">
        <v>13</v>
      </c>
      <c r="H18" s="6" t="s">
        <v>13</v>
      </c>
      <c r="I18" s="7" t="str">
        <f t="shared" si="0"/>
        <v>Critical</v>
      </c>
      <c r="J18" s="64">
        <f t="shared" si="1"/>
        <v>7</v>
      </c>
      <c r="K18" s="96"/>
      <c r="L18" s="109"/>
      <c r="M18" s="88"/>
      <c r="N18" s="64">
        <f>IF(J18&lt;&gt;"",J18*$M$17,"")</f>
        <v>0.35000000000000003</v>
      </c>
      <c r="O18" s="88"/>
      <c r="P18" s="5" t="s">
        <v>53</v>
      </c>
      <c r="Q18" s="5" t="s">
        <v>54</v>
      </c>
      <c r="R18" s="6" t="s">
        <v>24</v>
      </c>
      <c r="S18" s="6" t="s">
        <v>24</v>
      </c>
      <c r="T18" s="7" t="str">
        <f t="shared" si="2"/>
        <v>Moderate</v>
      </c>
      <c r="U18" s="64">
        <f t="shared" si="3"/>
        <v>2</v>
      </c>
      <c r="V18" s="96"/>
      <c r="W18" s="112"/>
      <c r="X18" s="88"/>
      <c r="Y18" s="66">
        <f t="shared" si="9"/>
        <v>0.1</v>
      </c>
      <c r="Z18" s="67">
        <f t="shared" si="5"/>
        <v>-0.25</v>
      </c>
      <c r="AA18" s="59" t="str" cm="1">
        <f t="array" ref="AA18">INDEX($I$84:$I$88,MATCH(1,($Z18&gt;=$G$84:$G$88)*($Z18&lt;=$H$84:$H$88),0))</f>
        <v>Moderate Improvement</v>
      </c>
      <c r="AB18" s="142"/>
      <c r="AC18" s="118"/>
      <c r="AD18" s="91"/>
    </row>
    <row r="19" spans="1:30" ht="45">
      <c r="A19" s="94"/>
      <c r="B19" s="13" t="s">
        <v>55</v>
      </c>
      <c r="C19" s="4" t="s">
        <v>56</v>
      </c>
      <c r="D19" s="14" t="s">
        <v>57</v>
      </c>
      <c r="E19" s="14" t="s">
        <v>58</v>
      </c>
      <c r="F19" s="6" t="s">
        <v>52</v>
      </c>
      <c r="G19" s="6" t="s">
        <v>30</v>
      </c>
      <c r="H19" s="6" t="s">
        <v>24</v>
      </c>
      <c r="I19" s="7" t="str">
        <f t="shared" si="0"/>
        <v>Severe</v>
      </c>
      <c r="J19" s="64">
        <f t="shared" si="1"/>
        <v>5</v>
      </c>
      <c r="K19" s="96"/>
      <c r="L19" s="109"/>
      <c r="M19" s="88"/>
      <c r="N19" s="64">
        <f>IF(J19&lt;&gt;"",J19*$M$17,"")</f>
        <v>0.25</v>
      </c>
      <c r="O19" s="88"/>
      <c r="P19" s="5" t="s">
        <v>59</v>
      </c>
      <c r="Q19" s="5" t="s">
        <v>60</v>
      </c>
      <c r="R19" s="6" t="s">
        <v>24</v>
      </c>
      <c r="S19" s="6" t="s">
        <v>13</v>
      </c>
      <c r="T19" s="7" t="str">
        <f t="shared" si="2"/>
        <v>Severe</v>
      </c>
      <c r="U19" s="64">
        <f t="shared" si="3"/>
        <v>5</v>
      </c>
      <c r="V19" s="96"/>
      <c r="W19" s="112"/>
      <c r="X19" s="88"/>
      <c r="Y19" s="66">
        <f t="shared" si="9"/>
        <v>0.25</v>
      </c>
      <c r="Z19" s="67">
        <f t="shared" si="5"/>
        <v>0</v>
      </c>
      <c r="AA19" s="59" t="str" cm="1">
        <f t="array" ref="AA19">INDEX($I$84:$I$88,MATCH(1,($Z19&gt;=$G$84:$G$88)*($Z19&lt;=$H$84:$H$88),0))</f>
        <v>No Change</v>
      </c>
      <c r="AB19" s="142"/>
      <c r="AC19" s="118"/>
      <c r="AD19" s="91"/>
    </row>
    <row r="20" spans="1:30" ht="45">
      <c r="A20" s="95"/>
      <c r="B20" s="9" t="s">
        <v>61</v>
      </c>
      <c r="C20" s="10" t="s">
        <v>62</v>
      </c>
      <c r="D20" s="11" t="s">
        <v>63</v>
      </c>
      <c r="E20" s="11" t="s">
        <v>64</v>
      </c>
      <c r="F20" s="12" t="s">
        <v>52</v>
      </c>
      <c r="G20" s="6" t="s">
        <v>30</v>
      </c>
      <c r="H20" s="6" t="s">
        <v>17</v>
      </c>
      <c r="I20" s="7" t="str">
        <f t="shared" si="0"/>
        <v>Moderate</v>
      </c>
      <c r="J20" s="64">
        <f t="shared" si="1"/>
        <v>2</v>
      </c>
      <c r="K20" s="107"/>
      <c r="L20" s="110"/>
      <c r="M20" s="89"/>
      <c r="N20" s="64">
        <f>IF(J20&lt;&gt;"",J20*$M$17,"")</f>
        <v>0.1</v>
      </c>
      <c r="O20" s="89"/>
      <c r="P20" s="11" t="s">
        <v>65</v>
      </c>
      <c r="Q20" s="11" t="s">
        <v>66</v>
      </c>
      <c r="R20" s="6" t="s">
        <v>17</v>
      </c>
      <c r="S20" s="6" t="s">
        <v>17</v>
      </c>
      <c r="T20" s="7" t="str">
        <f t="shared" si="2"/>
        <v>Sustainable</v>
      </c>
      <c r="U20" s="64">
        <f t="shared" si="3"/>
        <v>0</v>
      </c>
      <c r="V20" s="107"/>
      <c r="W20" s="113"/>
      <c r="X20" s="89"/>
      <c r="Y20" s="66">
        <f t="shared" si="9"/>
        <v>0</v>
      </c>
      <c r="Z20" s="67">
        <f t="shared" si="5"/>
        <v>-0.1</v>
      </c>
      <c r="AA20" s="59" t="str" cm="1">
        <f t="array" ref="AA20">INDEX($I$84:$I$88,MATCH(1,($Z20&gt;=$G$84:$G$88)*($Z20&lt;=$H$84:$H$88),0))</f>
        <v>Slight Improvement</v>
      </c>
      <c r="AB20" s="143"/>
      <c r="AC20" s="119"/>
      <c r="AD20" s="92"/>
    </row>
    <row r="21" spans="1:30" ht="45">
      <c r="A21" s="93" t="s">
        <v>67</v>
      </c>
      <c r="B21" s="9" t="s">
        <v>68</v>
      </c>
      <c r="C21" s="10" t="s">
        <v>69</v>
      </c>
      <c r="D21" s="11" t="s">
        <v>70</v>
      </c>
      <c r="E21" s="11" t="s">
        <v>71</v>
      </c>
      <c r="F21" s="12" t="s">
        <v>72</v>
      </c>
      <c r="G21" s="6" t="s">
        <v>30</v>
      </c>
      <c r="H21" s="6" t="s">
        <v>30</v>
      </c>
      <c r="I21" s="7" t="str">
        <f t="shared" si="0"/>
        <v>Critical</v>
      </c>
      <c r="J21" s="64">
        <f t="shared" si="1"/>
        <v>7</v>
      </c>
      <c r="K21" s="106">
        <f t="shared" ref="K21" si="10" xml:space="preserve"> AVERAGE(J21:J24)</f>
        <v>5.75</v>
      </c>
      <c r="L21" s="108" t="str" cm="1">
        <f t="array" ref="L21">_xlfn.XLOOKUP(1, (K21&gt;=$G$77:$G$80)*(K21&lt;=$H$77:$H$80), $I$77:$I$80)</f>
        <v>Severe</v>
      </c>
      <c r="M21" s="87">
        <f>VLOOKUP($A21, $H$68:$J$72, 3, FALSE)</f>
        <v>0.2</v>
      </c>
      <c r="N21" s="64">
        <f>IF(J21&lt;&gt;"",J21*$M$21,"")</f>
        <v>1.4000000000000001</v>
      </c>
      <c r="O21" s="96">
        <f>AVERAGE(N21:N24)</f>
        <v>1.1500000000000001</v>
      </c>
      <c r="P21" s="11" t="s">
        <v>73</v>
      </c>
      <c r="Q21" s="11" t="s">
        <v>74</v>
      </c>
      <c r="R21" s="6" t="s">
        <v>30</v>
      </c>
      <c r="S21" s="6" t="s">
        <v>24</v>
      </c>
      <c r="T21" s="7" t="str">
        <f t="shared" si="2"/>
        <v>Severe</v>
      </c>
      <c r="U21" s="64">
        <f t="shared" si="3"/>
        <v>5</v>
      </c>
      <c r="V21" s="106">
        <f t="shared" ref="V21" si="11" xml:space="preserve"> AVERAGE(U21:U24)</f>
        <v>4.25</v>
      </c>
      <c r="W21" s="111" t="str" cm="1">
        <f t="array" ref="W21">_xlfn.XLOOKUP(1, (V21&gt;=$G$77:$G$80)*(V21&lt;=$H$77:$H$80), $I$77:$I$80)</f>
        <v>Moderate</v>
      </c>
      <c r="X21" s="87">
        <f t="shared" ref="X21" si="12">VLOOKUP($A21, $H$68:$J$72, 3, FALSE)</f>
        <v>0.2</v>
      </c>
      <c r="Y21" s="66">
        <f t="shared" ref="Y21:Y24" si="13">IF(U21&lt;&gt;"",U21*$X$21,"")</f>
        <v>1</v>
      </c>
      <c r="Z21" s="67">
        <f t="shared" si="5"/>
        <v>-0.40000000000000013</v>
      </c>
      <c r="AA21" s="59" t="str" cm="1">
        <f t="array" ref="AA21">INDEX($I$84:$I$88,MATCH(1,($Z21&gt;=$G$84:$G$88)*($Z21&lt;=$H$84:$H$88),0))</f>
        <v>Moderate Improvement</v>
      </c>
      <c r="AB21" s="141">
        <f t="shared" ref="AB21" si="14">AVERAGE(Z21:Z24)</f>
        <v>-0.3000000000000001</v>
      </c>
      <c r="AC21" s="117" t="str" cm="1">
        <f t="array" ref="AC21">INDEX($I$84:$I$88,MATCH(1,($AB21&gt;=$G$84:$G$88)*($AB21&lt;=$H$84:$H$88),0))</f>
        <v>Moderate Improvement</v>
      </c>
      <c r="AD21" s="90">
        <f>AVERAGE(Y21:Y24)</f>
        <v>0.85</v>
      </c>
    </row>
    <row r="22" spans="1:30" ht="45">
      <c r="A22" s="94"/>
      <c r="B22" s="8" t="s">
        <v>75</v>
      </c>
      <c r="C22" s="4" t="s">
        <v>76</v>
      </c>
      <c r="D22" s="5" t="s">
        <v>77</v>
      </c>
      <c r="E22" s="5" t="s">
        <v>78</v>
      </c>
      <c r="F22" s="6" t="s">
        <v>72</v>
      </c>
      <c r="G22" s="6" t="s">
        <v>24</v>
      </c>
      <c r="H22" s="6" t="s">
        <v>24</v>
      </c>
      <c r="I22" s="7" t="str">
        <f t="shared" si="0"/>
        <v>Moderate</v>
      </c>
      <c r="J22" s="64">
        <f t="shared" si="1"/>
        <v>2</v>
      </c>
      <c r="K22" s="96"/>
      <c r="L22" s="109"/>
      <c r="M22" s="88"/>
      <c r="N22" s="64">
        <f>IF(J22&lt;&gt;"",J22*$M$21,"")</f>
        <v>0.4</v>
      </c>
      <c r="O22" s="88"/>
      <c r="P22" s="5" t="s">
        <v>79</v>
      </c>
      <c r="Q22" s="5" t="s">
        <v>80</v>
      </c>
      <c r="R22" s="6" t="s">
        <v>24</v>
      </c>
      <c r="S22" s="6" t="s">
        <v>17</v>
      </c>
      <c r="T22" s="7" t="str">
        <f t="shared" si="2"/>
        <v>Moderate</v>
      </c>
      <c r="U22" s="64">
        <f t="shared" si="3"/>
        <v>2</v>
      </c>
      <c r="V22" s="96"/>
      <c r="W22" s="112"/>
      <c r="X22" s="88"/>
      <c r="Y22" s="66">
        <f t="shared" si="13"/>
        <v>0.4</v>
      </c>
      <c r="Z22" s="67">
        <f t="shared" si="5"/>
        <v>0</v>
      </c>
      <c r="AA22" s="59" t="str" cm="1">
        <f t="array" ref="AA22">INDEX($I$84:$I$88,MATCH(1,($Z22&gt;=$G$84:$G$88)*($Z22&lt;=$H$84:$H$88),0))</f>
        <v>No Change</v>
      </c>
      <c r="AB22" s="142"/>
      <c r="AC22" s="118"/>
      <c r="AD22" s="91"/>
    </row>
    <row r="23" spans="1:30" ht="45">
      <c r="A23" s="94"/>
      <c r="B23" s="8" t="s">
        <v>81</v>
      </c>
      <c r="C23" s="4" t="s">
        <v>82</v>
      </c>
      <c r="D23" s="5" t="s">
        <v>83</v>
      </c>
      <c r="E23" s="5" t="s">
        <v>84</v>
      </c>
      <c r="F23" s="6" t="s">
        <v>85</v>
      </c>
      <c r="G23" s="6" t="s">
        <v>13</v>
      </c>
      <c r="H23" s="6" t="s">
        <v>30</v>
      </c>
      <c r="I23" s="7" t="str">
        <f t="shared" si="0"/>
        <v>Critical</v>
      </c>
      <c r="J23" s="64">
        <f t="shared" si="1"/>
        <v>7</v>
      </c>
      <c r="K23" s="96"/>
      <c r="L23" s="109"/>
      <c r="M23" s="88"/>
      <c r="N23" s="64">
        <f>IF(J23&lt;&gt;"",J23*$M$21,"")</f>
        <v>1.4000000000000001</v>
      </c>
      <c r="O23" s="88"/>
      <c r="P23" s="5" t="s">
        <v>86</v>
      </c>
      <c r="Q23" s="5" t="s">
        <v>87</v>
      </c>
      <c r="R23" s="6" t="s">
        <v>24</v>
      </c>
      <c r="S23" s="6" t="s">
        <v>13</v>
      </c>
      <c r="T23" s="7" t="str">
        <f t="shared" si="2"/>
        <v>Severe</v>
      </c>
      <c r="U23" s="64">
        <f t="shared" si="3"/>
        <v>5</v>
      </c>
      <c r="V23" s="96"/>
      <c r="W23" s="112"/>
      <c r="X23" s="88"/>
      <c r="Y23" s="66">
        <f t="shared" si="13"/>
        <v>1</v>
      </c>
      <c r="Z23" s="67">
        <f t="shared" si="5"/>
        <v>-0.40000000000000013</v>
      </c>
      <c r="AA23" s="59" t="str" cm="1">
        <f t="array" ref="AA23">INDEX($I$84:$I$88,MATCH(1,($Z23&gt;=$G$84:$G$88)*($Z23&lt;=$H$84:$H$88),0))</f>
        <v>Moderate Improvement</v>
      </c>
      <c r="AB23" s="142"/>
      <c r="AC23" s="118"/>
      <c r="AD23" s="91"/>
    </row>
    <row r="24" spans="1:30" ht="45">
      <c r="A24" s="95"/>
      <c r="B24" s="9" t="s">
        <v>88</v>
      </c>
      <c r="C24" s="10" t="s">
        <v>89</v>
      </c>
      <c r="D24" s="11" t="s">
        <v>90</v>
      </c>
      <c r="E24" s="11" t="s">
        <v>91</v>
      </c>
      <c r="F24" s="12" t="s">
        <v>52</v>
      </c>
      <c r="G24" s="6" t="s">
        <v>17</v>
      </c>
      <c r="H24" s="6" t="s">
        <v>30</v>
      </c>
      <c r="I24" s="7" t="str">
        <f t="shared" si="0"/>
        <v>Critical</v>
      </c>
      <c r="J24" s="64">
        <f t="shared" si="1"/>
        <v>7</v>
      </c>
      <c r="K24" s="107"/>
      <c r="L24" s="110"/>
      <c r="M24" s="89"/>
      <c r="N24" s="64">
        <f>IF(J24&lt;&gt;"",J24*$M$21,"")</f>
        <v>1.4000000000000001</v>
      </c>
      <c r="O24" s="89"/>
      <c r="P24" s="11" t="s">
        <v>92</v>
      </c>
      <c r="Q24" s="11" t="s">
        <v>93</v>
      </c>
      <c r="R24" s="6" t="s">
        <v>16</v>
      </c>
      <c r="S24" s="6" t="s">
        <v>30</v>
      </c>
      <c r="T24" s="7" t="str">
        <f t="shared" si="2"/>
        <v>Severe</v>
      </c>
      <c r="U24" s="64">
        <f t="shared" si="3"/>
        <v>5</v>
      </c>
      <c r="V24" s="107"/>
      <c r="W24" s="113"/>
      <c r="X24" s="89"/>
      <c r="Y24" s="66">
        <f t="shared" si="13"/>
        <v>1</v>
      </c>
      <c r="Z24" s="67">
        <f t="shared" si="5"/>
        <v>-0.40000000000000013</v>
      </c>
      <c r="AA24" s="59" t="str" cm="1">
        <f t="array" ref="AA24">INDEX($I$84:$I$88,MATCH(1,($Z24&gt;=$G$84:$G$88)*($Z24&lt;=$H$84:$H$88),0))</f>
        <v>Moderate Improvement</v>
      </c>
      <c r="AB24" s="143"/>
      <c r="AC24" s="119"/>
      <c r="AD24" s="92"/>
    </row>
    <row r="25" spans="1:30" ht="45">
      <c r="A25" s="93" t="s">
        <v>94</v>
      </c>
      <c r="B25" s="9" t="s">
        <v>95</v>
      </c>
      <c r="C25" s="10" t="s">
        <v>96</v>
      </c>
      <c r="D25" s="11" t="s">
        <v>97</v>
      </c>
      <c r="E25" s="11" t="s">
        <v>98</v>
      </c>
      <c r="F25" s="12" t="s">
        <v>45</v>
      </c>
      <c r="G25" s="6" t="s">
        <v>13</v>
      </c>
      <c r="H25" s="6" t="s">
        <v>17</v>
      </c>
      <c r="I25" s="7" t="str">
        <f t="shared" si="0"/>
        <v>Moderate</v>
      </c>
      <c r="J25" s="64">
        <f t="shared" si="1"/>
        <v>2</v>
      </c>
      <c r="K25" s="106">
        <f t="shared" ref="K25" si="15" xml:space="preserve"> AVERAGE(J25:J28)</f>
        <v>3.25</v>
      </c>
      <c r="L25" s="108" t="str" cm="1">
        <f t="array" ref="L25">_xlfn.XLOOKUP(1, (K25&gt;=$G$77:$G$80)*(K25&lt;=$H$77:$H$80), $I$77:$I$80)</f>
        <v>Moderate</v>
      </c>
      <c r="M25" s="87">
        <f>VLOOKUP($A25, $H$68:$J$72, 3, FALSE)</f>
        <v>0.2</v>
      </c>
      <c r="N25" s="64">
        <f>IF(J25&lt;&gt;"",J25*$M$25,"")</f>
        <v>0.4</v>
      </c>
      <c r="O25" s="96">
        <f>AVERAGE(N25:N28)</f>
        <v>0.65</v>
      </c>
      <c r="P25" s="11" t="s">
        <v>99</v>
      </c>
      <c r="Q25" s="11" t="s">
        <v>100</v>
      </c>
      <c r="R25" s="6" t="s">
        <v>24</v>
      </c>
      <c r="S25" s="6" t="s">
        <v>17</v>
      </c>
      <c r="T25" s="7" t="str">
        <f t="shared" si="2"/>
        <v>Moderate</v>
      </c>
      <c r="U25" s="64">
        <f t="shared" si="3"/>
        <v>2</v>
      </c>
      <c r="V25" s="106">
        <f t="shared" ref="V25" si="16" xml:space="preserve"> AVERAGE(U25:U28)</f>
        <v>1.75</v>
      </c>
      <c r="W25" s="111" t="str" cm="1">
        <f t="array" ref="W25">_xlfn.XLOOKUP(1, (V25&gt;=$G$77:$G$80)*(V25&lt;=$H$77:$H$80), $I$77:$I$80)</f>
        <v>Sustainable</v>
      </c>
      <c r="X25" s="87">
        <f t="shared" ref="X25" si="17">VLOOKUP($A25, $H$68:$J$72, 3, FALSE)</f>
        <v>0.2</v>
      </c>
      <c r="Y25" s="66">
        <f t="shared" ref="Y25:Y28" si="18">IF(U25&lt;&gt;"",U25*$X$25,"")</f>
        <v>0.4</v>
      </c>
      <c r="Z25" s="67">
        <f t="shared" si="5"/>
        <v>0</v>
      </c>
      <c r="AA25" s="59" t="str" cm="1">
        <f t="array" ref="AA25">INDEX($I$84:$I$88,MATCH(1,($Z25&gt;=$G$84:$G$88)*($Z25&lt;=$H$84:$H$88),0))</f>
        <v>No Change</v>
      </c>
      <c r="AB25" s="141">
        <f>AVERAGE(Z25:Z28)</f>
        <v>-0.30000000000000004</v>
      </c>
      <c r="AC25" s="117" t="str" cm="1">
        <f t="array" ref="AC25">INDEX($I$84:$I$88,MATCH(1,($AB25&gt;=$G$84:$G$88)*($AB25&lt;=$H$84:$H$88),0))</f>
        <v>Moderate Improvement</v>
      </c>
      <c r="AD25" s="90">
        <f>AVERAGE(Y25:Y28)</f>
        <v>0.35</v>
      </c>
    </row>
    <row r="26" spans="1:30" ht="45">
      <c r="A26" s="94"/>
      <c r="B26" s="8" t="s">
        <v>101</v>
      </c>
      <c r="C26" s="4" t="s">
        <v>102</v>
      </c>
      <c r="D26" s="5" t="s">
        <v>103</v>
      </c>
      <c r="E26" s="5" t="s">
        <v>104</v>
      </c>
      <c r="F26" s="6" t="s">
        <v>45</v>
      </c>
      <c r="G26" s="6" t="s">
        <v>17</v>
      </c>
      <c r="H26" s="6" t="s">
        <v>24</v>
      </c>
      <c r="I26" s="7" t="str">
        <f t="shared" si="0"/>
        <v>Moderate</v>
      </c>
      <c r="J26" s="64">
        <f t="shared" si="1"/>
        <v>2</v>
      </c>
      <c r="K26" s="96"/>
      <c r="L26" s="109"/>
      <c r="M26" s="88"/>
      <c r="N26" s="64">
        <f>IF(J26&lt;&gt;"",J26*$M$25,"")</f>
        <v>0.4</v>
      </c>
      <c r="O26" s="88"/>
      <c r="P26" s="5" t="s">
        <v>105</v>
      </c>
      <c r="Q26" s="5" t="s">
        <v>106</v>
      </c>
      <c r="R26" s="6" t="s">
        <v>16</v>
      </c>
      <c r="S26" s="6" t="s">
        <v>24</v>
      </c>
      <c r="T26" s="7" t="str">
        <f t="shared" si="2"/>
        <v>Sustainable</v>
      </c>
      <c r="U26" s="64">
        <f t="shared" si="3"/>
        <v>0</v>
      </c>
      <c r="V26" s="96"/>
      <c r="W26" s="112"/>
      <c r="X26" s="88"/>
      <c r="Y26" s="66">
        <f t="shared" si="18"/>
        <v>0</v>
      </c>
      <c r="Z26" s="67">
        <f t="shared" si="5"/>
        <v>-0.4</v>
      </c>
      <c r="AA26" s="59" t="str" cm="1">
        <f t="array" ref="AA26">INDEX($I$84:$I$88,MATCH(1,($Z26&gt;=$G$84:$G$88)*($Z26&lt;=$H$84:$H$88),0))</f>
        <v>Moderate Improvement</v>
      </c>
      <c r="AB26" s="142"/>
      <c r="AC26" s="118"/>
      <c r="AD26" s="91"/>
    </row>
    <row r="27" spans="1:30" ht="45">
      <c r="A27" s="94"/>
      <c r="B27" s="8" t="s">
        <v>107</v>
      </c>
      <c r="C27" s="4" t="s">
        <v>108</v>
      </c>
      <c r="D27" s="5" t="s">
        <v>109</v>
      </c>
      <c r="E27" s="5" t="s">
        <v>110</v>
      </c>
      <c r="F27" s="6" t="s">
        <v>52</v>
      </c>
      <c r="G27" s="6" t="s">
        <v>13</v>
      </c>
      <c r="H27" s="6" t="s">
        <v>30</v>
      </c>
      <c r="I27" s="7" t="str">
        <f t="shared" si="0"/>
        <v>Critical</v>
      </c>
      <c r="J27" s="64">
        <f t="shared" si="1"/>
        <v>7</v>
      </c>
      <c r="K27" s="96"/>
      <c r="L27" s="109"/>
      <c r="M27" s="88"/>
      <c r="N27" s="64">
        <f>IF(J27&lt;&gt;"",J27*$M$25,"")</f>
        <v>1.4000000000000001</v>
      </c>
      <c r="O27" s="88"/>
      <c r="P27" s="5" t="s">
        <v>111</v>
      </c>
      <c r="Q27" s="5" t="s">
        <v>112</v>
      </c>
      <c r="R27" s="6" t="s">
        <v>16</v>
      </c>
      <c r="S27" s="6" t="s">
        <v>30</v>
      </c>
      <c r="T27" s="7" t="str">
        <f t="shared" si="2"/>
        <v>Severe</v>
      </c>
      <c r="U27" s="64">
        <f t="shared" si="3"/>
        <v>5</v>
      </c>
      <c r="V27" s="96"/>
      <c r="W27" s="112"/>
      <c r="X27" s="88"/>
      <c r="Y27" s="66">
        <f t="shared" si="18"/>
        <v>1</v>
      </c>
      <c r="Z27" s="67">
        <f t="shared" si="5"/>
        <v>-0.40000000000000013</v>
      </c>
      <c r="AA27" s="59" t="str" cm="1">
        <f t="array" ref="AA27">INDEX($I$84:$I$88,MATCH(1,($Z27&gt;=$G$84:$G$88)*($Z27&lt;=$H$84:$H$88),0))</f>
        <v>Moderate Improvement</v>
      </c>
      <c r="AB27" s="142"/>
      <c r="AC27" s="118"/>
      <c r="AD27" s="91"/>
    </row>
    <row r="28" spans="1:30" ht="45">
      <c r="A28" s="95"/>
      <c r="B28" s="9" t="s">
        <v>113</v>
      </c>
      <c r="C28" s="10" t="s">
        <v>114</v>
      </c>
      <c r="D28" s="11" t="s">
        <v>115</v>
      </c>
      <c r="E28" s="11" t="s">
        <v>116</v>
      </c>
      <c r="F28" s="12" t="s">
        <v>117</v>
      </c>
      <c r="G28" s="6" t="s">
        <v>17</v>
      </c>
      <c r="H28" s="6" t="s">
        <v>24</v>
      </c>
      <c r="I28" s="7" t="str">
        <f t="shared" si="0"/>
        <v>Moderate</v>
      </c>
      <c r="J28" s="64">
        <f t="shared" si="1"/>
        <v>2</v>
      </c>
      <c r="K28" s="107"/>
      <c r="L28" s="110"/>
      <c r="M28" s="89"/>
      <c r="N28" s="64">
        <f>IF(J28&lt;&gt;"",J28*$M$25,"")</f>
        <v>0.4</v>
      </c>
      <c r="O28" s="89"/>
      <c r="P28" s="11" t="s">
        <v>118</v>
      </c>
      <c r="Q28" s="11" t="s">
        <v>119</v>
      </c>
      <c r="R28" s="6" t="s">
        <v>16</v>
      </c>
      <c r="S28" s="6" t="s">
        <v>16</v>
      </c>
      <c r="T28" s="7" t="str">
        <f t="shared" si="2"/>
        <v>Sustainable</v>
      </c>
      <c r="U28" s="64">
        <f t="shared" si="3"/>
        <v>0</v>
      </c>
      <c r="V28" s="107"/>
      <c r="W28" s="113"/>
      <c r="X28" s="89"/>
      <c r="Y28" s="66">
        <f t="shared" si="18"/>
        <v>0</v>
      </c>
      <c r="Z28" s="67">
        <f t="shared" si="5"/>
        <v>-0.4</v>
      </c>
      <c r="AA28" s="59" t="str" cm="1">
        <f t="array" ref="AA28">INDEX($I$84:$I$88,MATCH(1,($Z28&gt;=$G$84:$G$88)*($Z28&lt;=$H$84:$H$88),0))</f>
        <v>Moderate Improvement</v>
      </c>
      <c r="AB28" s="143"/>
      <c r="AC28" s="119"/>
      <c r="AD28" s="92"/>
    </row>
    <row r="29" spans="1:30" ht="45">
      <c r="A29" s="93" t="s">
        <v>120</v>
      </c>
      <c r="B29" s="9" t="s">
        <v>121</v>
      </c>
      <c r="C29" s="10" t="s">
        <v>122</v>
      </c>
      <c r="D29" s="11" t="s">
        <v>123</v>
      </c>
      <c r="E29" s="11" t="s">
        <v>124</v>
      </c>
      <c r="F29" s="12" t="s">
        <v>45</v>
      </c>
      <c r="G29" s="6" t="s">
        <v>24</v>
      </c>
      <c r="H29" s="6" t="s">
        <v>13</v>
      </c>
      <c r="I29" s="7" t="str">
        <f t="shared" si="0"/>
        <v>Severe</v>
      </c>
      <c r="J29" s="64">
        <f t="shared" si="1"/>
        <v>5</v>
      </c>
      <c r="K29" s="106">
        <f t="shared" ref="K29" si="19" xml:space="preserve"> AVERAGE(J29:J32)</f>
        <v>4</v>
      </c>
      <c r="L29" s="108" t="str" cm="1">
        <f t="array" ref="L29">_xlfn.XLOOKUP(1, (K29&gt;=$G$77:$G$80)*(K29&lt;=$H$77:$H$80), $I$77:$I$80)</f>
        <v>Moderate</v>
      </c>
      <c r="M29" s="87">
        <f>VLOOKUP($A29, $H$68:$J$72, 3, FALSE)</f>
        <v>0.2</v>
      </c>
      <c r="N29" s="64">
        <f>IF(J29&lt;&gt;"",J29*$M$29,"")</f>
        <v>1</v>
      </c>
      <c r="O29" s="96">
        <f>AVERAGE(N29:N32)</f>
        <v>0.79999999999999993</v>
      </c>
      <c r="P29" s="11" t="s">
        <v>125</v>
      </c>
      <c r="Q29" s="11" t="s">
        <v>126</v>
      </c>
      <c r="R29" s="6" t="s">
        <v>16</v>
      </c>
      <c r="S29" s="6" t="s">
        <v>13</v>
      </c>
      <c r="T29" s="7" t="str">
        <f t="shared" si="2"/>
        <v>Moderate</v>
      </c>
      <c r="U29" s="64">
        <f t="shared" si="3"/>
        <v>2</v>
      </c>
      <c r="V29" s="106">
        <f t="shared" ref="V29" si="20" xml:space="preserve"> AVERAGE(U29:U32)</f>
        <v>1</v>
      </c>
      <c r="W29" s="111" t="str" cm="1">
        <f t="array" ref="W29">_xlfn.XLOOKUP(1, (V29&gt;=$G$77:$G$80)*(V29&lt;=$H$77:$H$80), $I$77:$I$80)</f>
        <v>Sustainable</v>
      </c>
      <c r="X29" s="87">
        <f t="shared" ref="X29" si="21">VLOOKUP($A29, $H$68:$J$72, 3, FALSE)</f>
        <v>0.2</v>
      </c>
      <c r="Y29" s="66">
        <f t="shared" ref="Y29:Y32" si="22">IF(U29&lt;&gt;"",U29*$X$29,"")</f>
        <v>0.4</v>
      </c>
      <c r="Z29" s="67">
        <f t="shared" si="5"/>
        <v>-0.6</v>
      </c>
      <c r="AA29" s="59" t="str" cm="1">
        <f t="array" ref="AA29">INDEX($I$84:$I$88,MATCH(1,($Z29&gt;=$G$84:$G$88)*($Z29&lt;=$H$84:$H$88),0))</f>
        <v>Strong Improvement</v>
      </c>
      <c r="AB29" s="141">
        <f t="shared" ref="AB29" si="23">AVERAGE(Z29:Z32)</f>
        <v>-0.6</v>
      </c>
      <c r="AC29" s="120" t="str" cm="1">
        <f t="array" ref="AC29">INDEX($I$84:$I$88,MATCH(1,($AB29&gt;=$G$84:$G$88)*($AB29&lt;=$H$84:$H$88),0))</f>
        <v>Strong Improvement</v>
      </c>
      <c r="AD29" s="90">
        <f>AVERAGE(Y29:Y32)</f>
        <v>0.2</v>
      </c>
    </row>
    <row r="30" spans="1:30" ht="45">
      <c r="A30" s="94"/>
      <c r="B30" s="8" t="s">
        <v>127</v>
      </c>
      <c r="C30" s="4" t="s">
        <v>128</v>
      </c>
      <c r="D30" s="5" t="s">
        <v>129</v>
      </c>
      <c r="E30" s="5" t="s">
        <v>130</v>
      </c>
      <c r="F30" s="6" t="s">
        <v>45</v>
      </c>
      <c r="G30" s="6" t="s">
        <v>30</v>
      </c>
      <c r="H30" s="6" t="s">
        <v>17</v>
      </c>
      <c r="I30" s="7" t="str">
        <f t="shared" si="0"/>
        <v>Moderate</v>
      </c>
      <c r="J30" s="64">
        <f t="shared" si="1"/>
        <v>2</v>
      </c>
      <c r="K30" s="96"/>
      <c r="L30" s="109"/>
      <c r="M30" s="88"/>
      <c r="N30" s="64">
        <f>IF(J30&lt;&gt;"",J30*$M$29,"")</f>
        <v>0.4</v>
      </c>
      <c r="O30" s="88"/>
      <c r="P30" s="5" t="s">
        <v>131</v>
      </c>
      <c r="Q30" s="5" t="s">
        <v>132</v>
      </c>
      <c r="R30" s="6" t="s">
        <v>17</v>
      </c>
      <c r="S30" s="6" t="s">
        <v>16</v>
      </c>
      <c r="T30" s="7" t="str">
        <f t="shared" si="2"/>
        <v>Sustainable</v>
      </c>
      <c r="U30" s="64">
        <f t="shared" si="3"/>
        <v>0</v>
      </c>
      <c r="V30" s="96"/>
      <c r="W30" s="112"/>
      <c r="X30" s="88"/>
      <c r="Y30" s="66">
        <f t="shared" si="22"/>
        <v>0</v>
      </c>
      <c r="Z30" s="67">
        <f t="shared" si="5"/>
        <v>-0.4</v>
      </c>
      <c r="AA30" s="59" t="str" cm="1">
        <f t="array" ref="AA30">INDEX($I$84:$I$88,MATCH(1,($Z30&gt;=$G$84:$G$88)*($Z30&lt;=$H$84:$H$88),0))</f>
        <v>Moderate Improvement</v>
      </c>
      <c r="AB30" s="142"/>
      <c r="AC30" s="120"/>
      <c r="AD30" s="91"/>
    </row>
    <row r="31" spans="1:30" ht="45">
      <c r="A31" s="94"/>
      <c r="B31" s="8" t="s">
        <v>133</v>
      </c>
      <c r="C31" s="4" t="s">
        <v>134</v>
      </c>
      <c r="D31" s="5" t="s">
        <v>135</v>
      </c>
      <c r="E31" s="5" t="s">
        <v>136</v>
      </c>
      <c r="F31" s="6" t="s">
        <v>45</v>
      </c>
      <c r="G31" s="6" t="s">
        <v>13</v>
      </c>
      <c r="H31" s="6" t="s">
        <v>13</v>
      </c>
      <c r="I31" s="7" t="str">
        <f t="shared" si="0"/>
        <v>Critical</v>
      </c>
      <c r="J31" s="64">
        <f t="shared" si="1"/>
        <v>7</v>
      </c>
      <c r="K31" s="96"/>
      <c r="L31" s="109"/>
      <c r="M31" s="88"/>
      <c r="N31" s="64">
        <f>IF(J31&lt;&gt;"",J31*$M$29,"")</f>
        <v>1.4000000000000001</v>
      </c>
      <c r="O31" s="88"/>
      <c r="P31" s="5" t="s">
        <v>137</v>
      </c>
      <c r="Q31" s="5" t="s">
        <v>138</v>
      </c>
      <c r="R31" s="6" t="s">
        <v>24</v>
      </c>
      <c r="S31" s="6" t="s">
        <v>24</v>
      </c>
      <c r="T31" s="7" t="str">
        <f t="shared" si="2"/>
        <v>Moderate</v>
      </c>
      <c r="U31" s="64">
        <f t="shared" si="3"/>
        <v>2</v>
      </c>
      <c r="V31" s="96"/>
      <c r="W31" s="112"/>
      <c r="X31" s="88"/>
      <c r="Y31" s="66">
        <f t="shared" si="22"/>
        <v>0.4</v>
      </c>
      <c r="Z31" s="67">
        <f t="shared" si="5"/>
        <v>-1</v>
      </c>
      <c r="AA31" s="59" t="str" cm="1">
        <f t="array" ref="AA31">INDEX($I$84:$I$88,MATCH(1,($Z31&gt;=$G$84:$G$88)*($Z31&lt;=$H$84:$H$88),0))</f>
        <v>Strong Improvement</v>
      </c>
      <c r="AB31" s="142"/>
      <c r="AC31" s="120"/>
      <c r="AD31" s="91"/>
    </row>
    <row r="32" spans="1:30" ht="45">
      <c r="A32" s="95"/>
      <c r="B32" s="9" t="s">
        <v>139</v>
      </c>
      <c r="C32" s="10" t="s">
        <v>140</v>
      </c>
      <c r="D32" s="11" t="s">
        <v>141</v>
      </c>
      <c r="E32" s="11" t="s">
        <v>142</v>
      </c>
      <c r="F32" s="12" t="s">
        <v>117</v>
      </c>
      <c r="G32" s="6" t="s">
        <v>17</v>
      </c>
      <c r="H32" s="6" t="s">
        <v>24</v>
      </c>
      <c r="I32" s="7" t="str">
        <f t="shared" si="0"/>
        <v>Moderate</v>
      </c>
      <c r="J32" s="64">
        <f t="shared" si="1"/>
        <v>2</v>
      </c>
      <c r="K32" s="107"/>
      <c r="L32" s="110"/>
      <c r="M32" s="89"/>
      <c r="N32" s="65">
        <f>IF(J32&lt;&gt;"",J32*$M$29,"")</f>
        <v>0.4</v>
      </c>
      <c r="O32" s="89"/>
      <c r="P32" s="11" t="s">
        <v>143</v>
      </c>
      <c r="Q32" s="11" t="s">
        <v>144</v>
      </c>
      <c r="R32" s="6" t="s">
        <v>16</v>
      </c>
      <c r="S32" s="6" t="s">
        <v>24</v>
      </c>
      <c r="T32" s="7" t="str">
        <f t="shared" si="2"/>
        <v>Sustainable</v>
      </c>
      <c r="U32" s="64">
        <f t="shared" si="3"/>
        <v>0</v>
      </c>
      <c r="V32" s="107"/>
      <c r="W32" s="113"/>
      <c r="X32" s="89"/>
      <c r="Y32" s="66">
        <f t="shared" si="22"/>
        <v>0</v>
      </c>
      <c r="Z32" s="67">
        <f t="shared" si="5"/>
        <v>-0.4</v>
      </c>
      <c r="AA32" s="59" t="str" cm="1">
        <f t="array" ref="AA32">INDEX($I$84:$I$88,MATCH(1,($Z32&gt;=$G$84:$G$88)*($Z32&lt;=$H$84:$H$88),0))</f>
        <v>Moderate Improvement</v>
      </c>
      <c r="AB32" s="143"/>
      <c r="AC32" s="120"/>
      <c r="AD32" s="91"/>
    </row>
    <row r="33" spans="3:32" ht="60" customHeight="1">
      <c r="C33" s="15"/>
      <c r="J33" s="114" t="s">
        <v>197</v>
      </c>
      <c r="K33" s="115"/>
      <c r="L33" s="116"/>
      <c r="M33" s="63">
        <f>SUM(M13:M32)</f>
        <v>1</v>
      </c>
      <c r="O33" s="145">
        <f>SUM(O13:O32)</f>
        <v>5.1375000000000002</v>
      </c>
      <c r="P33" s="1"/>
      <c r="Q33" s="1"/>
      <c r="R33" s="1"/>
      <c r="S33" s="1"/>
      <c r="T33" s="1"/>
      <c r="U33" s="114" t="s">
        <v>197</v>
      </c>
      <c r="V33" s="115"/>
      <c r="W33" s="116"/>
      <c r="X33" s="34">
        <f>SUM(X13:X32)</f>
        <v>1</v>
      </c>
      <c r="Y33" s="16"/>
      <c r="Z33" s="16"/>
      <c r="AA33" s="16"/>
      <c r="AB33" s="144">
        <f>AVERAGE(Z13:Z32)</f>
        <v>-0.60250000000000004</v>
      </c>
      <c r="AD33" s="144">
        <f>SUM(AD13:AD32)</f>
        <v>2.1250000000000004</v>
      </c>
    </row>
    <row r="34" spans="3:32" ht="13.2" customHeight="1">
      <c r="C34" s="15"/>
      <c r="P34" s="62"/>
      <c r="Q34" s="62"/>
      <c r="AC34" s="60"/>
    </row>
    <row r="35" spans="3:32" ht="13.2" customHeight="1">
      <c r="C35" s="15"/>
      <c r="P35" s="62"/>
      <c r="Q35" s="62"/>
      <c r="T35" s="62"/>
      <c r="U35" s="62"/>
      <c r="V35" s="62"/>
      <c r="W35" s="62"/>
      <c r="X35" s="62"/>
      <c r="AC35" s="60"/>
    </row>
    <row r="36" spans="3:32" ht="13.2" customHeight="1">
      <c r="C36" s="15"/>
      <c r="I36" s="99" t="s">
        <v>145</v>
      </c>
      <c r="J36" s="98"/>
      <c r="K36" s="98"/>
      <c r="L36" s="98"/>
      <c r="M36" s="98"/>
      <c r="N36" s="98"/>
      <c r="O36" s="97" t="str" cm="1">
        <f t="array" ref="O36">_xlfn.XLOOKUP(1, (O33&gt;=$G$77:$G$80)*(O33&lt;=$H$77:$H$80), $I$77:$I$80)</f>
        <v>Severe</v>
      </c>
      <c r="P36" s="139"/>
      <c r="Q36" s="101"/>
      <c r="T36" s="61"/>
      <c r="U36" s="61"/>
      <c r="V36" s="61"/>
      <c r="W36" s="61"/>
      <c r="X36" s="61"/>
      <c r="Y36" s="99" t="s">
        <v>218</v>
      </c>
      <c r="Z36" s="99"/>
      <c r="AA36" s="99"/>
      <c r="AB36" s="102" t="str" cm="1">
        <f t="array" ref="AB36">INDEX($I$84:$I$88,MATCH(1,($AB33&gt;=$G$84:$G$88)*($AB33&lt;=$H$84:$H$88),0))</f>
        <v>Strong Improvement</v>
      </c>
      <c r="AC36" s="99" t="s">
        <v>146</v>
      </c>
      <c r="AD36" s="97" t="str" cm="1">
        <f t="array" ref="AD36">_xlfn.XLOOKUP(1, (AD33&gt;=$G$77:$G$80)*(AD33&lt;=$H$77:$H$80), $I$77:$I$80)</f>
        <v>Moderate</v>
      </c>
      <c r="AE36" s="140"/>
    </row>
    <row r="37" spans="3:32" ht="13.2" customHeight="1">
      <c r="C37" s="15"/>
      <c r="I37" s="98"/>
      <c r="J37" s="100"/>
      <c r="K37" s="100"/>
      <c r="L37" s="100"/>
      <c r="M37" s="100"/>
      <c r="N37" s="98"/>
      <c r="O37" s="98"/>
      <c r="P37" s="139"/>
      <c r="Q37" s="101"/>
      <c r="T37" s="61"/>
      <c r="U37" s="61"/>
      <c r="V37" s="61"/>
      <c r="W37" s="61"/>
      <c r="X37" s="61"/>
      <c r="Y37" s="99"/>
      <c r="Z37" s="99"/>
      <c r="AA37" s="99"/>
      <c r="AB37" s="102"/>
      <c r="AC37" s="99"/>
      <c r="AD37" s="98"/>
      <c r="AE37" s="140"/>
    </row>
    <row r="38" spans="3:32" ht="25.2" customHeight="1">
      <c r="I38" s="98"/>
      <c r="J38" s="98"/>
      <c r="K38" s="98"/>
      <c r="L38" s="98"/>
      <c r="M38" s="98"/>
      <c r="N38" s="98"/>
      <c r="O38" s="98"/>
      <c r="P38" s="139"/>
      <c r="Q38" s="101"/>
      <c r="T38" s="61"/>
      <c r="U38" s="61"/>
      <c r="V38" s="61"/>
      <c r="W38" s="61"/>
      <c r="X38" s="61"/>
      <c r="Y38" s="99"/>
      <c r="Z38" s="99"/>
      <c r="AA38" s="99"/>
      <c r="AB38" s="102"/>
      <c r="AC38" s="99"/>
      <c r="AD38" s="98"/>
      <c r="AE38" s="140"/>
    </row>
    <row r="39" spans="3:32" ht="15.75" customHeight="1">
      <c r="P39" s="62"/>
      <c r="Q39" s="62"/>
      <c r="T39" s="62"/>
      <c r="U39" s="62"/>
      <c r="V39" s="62"/>
      <c r="W39" s="62"/>
      <c r="X39" s="62"/>
      <c r="AF39" s="35"/>
    </row>
    <row r="40" spans="3:32" ht="15.75" customHeight="1">
      <c r="T40" s="62"/>
      <c r="U40" s="62"/>
      <c r="V40" s="62"/>
      <c r="W40" s="62"/>
      <c r="X40" s="62"/>
    </row>
    <row r="45" spans="3:32" ht="15.75" customHeight="1">
      <c r="Q45" s="35"/>
    </row>
    <row r="47" spans="3:32" ht="60.6">
      <c r="F47" s="103" t="s">
        <v>147</v>
      </c>
      <c r="G47" s="104"/>
      <c r="H47" s="104"/>
      <c r="I47" s="104"/>
      <c r="J47" s="104"/>
      <c r="K47" s="104"/>
      <c r="L47" s="104"/>
      <c r="M47" s="104"/>
      <c r="N47" s="104"/>
      <c r="O47" s="104"/>
    </row>
    <row r="48" spans="3:32" ht="15">
      <c r="F48" s="17"/>
      <c r="G48" s="18"/>
      <c r="H48" s="18"/>
      <c r="I48" s="17"/>
      <c r="J48" s="17"/>
      <c r="K48" s="17"/>
      <c r="L48" s="17"/>
      <c r="M48" s="18"/>
      <c r="N48" s="18"/>
      <c r="O48" s="18"/>
    </row>
    <row r="49" spans="6:15" ht="15">
      <c r="F49" s="17"/>
      <c r="G49" s="18"/>
      <c r="H49" s="17"/>
      <c r="I49" s="17"/>
      <c r="J49" s="17"/>
      <c r="K49" s="17"/>
      <c r="L49" s="17"/>
      <c r="M49" s="18"/>
      <c r="N49" s="18"/>
      <c r="O49" s="18"/>
    </row>
    <row r="50" spans="6:15" ht="15">
      <c r="F50" s="17"/>
      <c r="G50" s="18"/>
      <c r="H50" s="17"/>
      <c r="I50" s="17"/>
      <c r="J50" s="17"/>
      <c r="K50" s="17"/>
      <c r="L50" s="17"/>
      <c r="M50" s="18"/>
      <c r="N50" s="18"/>
      <c r="O50" s="18"/>
    </row>
    <row r="51" spans="6:15" ht="15">
      <c r="F51" s="17"/>
      <c r="G51" s="18"/>
      <c r="H51" s="19" t="s">
        <v>30</v>
      </c>
      <c r="I51" s="19" t="s">
        <v>13</v>
      </c>
      <c r="J51" s="19" t="s">
        <v>24</v>
      </c>
      <c r="K51" s="19" t="s">
        <v>17</v>
      </c>
      <c r="L51" s="19" t="s">
        <v>16</v>
      </c>
      <c r="M51" s="18"/>
      <c r="N51" s="18"/>
      <c r="O51" s="18"/>
    </row>
    <row r="52" spans="6:15" ht="15">
      <c r="F52" s="17"/>
      <c r="G52" s="19" t="s">
        <v>30</v>
      </c>
      <c r="H52" s="20" t="s">
        <v>148</v>
      </c>
      <c r="I52" s="20" t="s">
        <v>148</v>
      </c>
      <c r="J52" s="42" t="s">
        <v>149</v>
      </c>
      <c r="K52" s="21" t="s">
        <v>150</v>
      </c>
      <c r="L52" s="21" t="s">
        <v>150</v>
      </c>
      <c r="M52" s="18"/>
      <c r="N52" s="18"/>
      <c r="O52" s="18"/>
    </row>
    <row r="53" spans="6:15" ht="15">
      <c r="F53" s="17"/>
      <c r="G53" s="19" t="s">
        <v>13</v>
      </c>
      <c r="H53" s="20" t="s">
        <v>148</v>
      </c>
      <c r="I53" s="20" t="s">
        <v>148</v>
      </c>
      <c r="J53" s="42" t="s">
        <v>149</v>
      </c>
      <c r="K53" s="21" t="s">
        <v>150</v>
      </c>
      <c r="L53" s="53" t="s">
        <v>151</v>
      </c>
      <c r="M53" s="18"/>
      <c r="N53" s="18"/>
      <c r="O53" s="18"/>
    </row>
    <row r="54" spans="6:15" ht="15">
      <c r="F54" s="17"/>
      <c r="G54" s="19" t="s">
        <v>24</v>
      </c>
      <c r="H54" s="20" t="s">
        <v>148</v>
      </c>
      <c r="I54" s="42" t="s">
        <v>149</v>
      </c>
      <c r="J54" s="21" t="s">
        <v>150</v>
      </c>
      <c r="K54" s="21" t="s">
        <v>150</v>
      </c>
      <c r="L54" s="53" t="s">
        <v>151</v>
      </c>
      <c r="M54" s="18"/>
      <c r="N54" s="18"/>
      <c r="O54" s="18"/>
    </row>
    <row r="55" spans="6:15" ht="15">
      <c r="F55" s="17"/>
      <c r="G55" s="19" t="s">
        <v>17</v>
      </c>
      <c r="H55" s="20" t="s">
        <v>148</v>
      </c>
      <c r="I55" s="42" t="s">
        <v>149</v>
      </c>
      <c r="J55" s="21" t="s">
        <v>150</v>
      </c>
      <c r="K55" s="53" t="s">
        <v>151</v>
      </c>
      <c r="L55" s="53" t="s">
        <v>151</v>
      </c>
      <c r="M55" s="18"/>
      <c r="N55" s="18"/>
      <c r="O55" s="18"/>
    </row>
    <row r="56" spans="6:15" ht="15">
      <c r="F56" s="17"/>
      <c r="G56" s="19" t="s">
        <v>16</v>
      </c>
      <c r="H56" s="42" t="s">
        <v>149</v>
      </c>
      <c r="I56" s="21" t="s">
        <v>150</v>
      </c>
      <c r="J56" s="53" t="s">
        <v>151</v>
      </c>
      <c r="K56" s="53" t="s">
        <v>151</v>
      </c>
      <c r="L56" s="53" t="s">
        <v>151</v>
      </c>
      <c r="M56" s="18"/>
      <c r="N56" s="18"/>
      <c r="O56" s="18"/>
    </row>
    <row r="57" spans="6:15" ht="15">
      <c r="F57" s="17"/>
      <c r="G57" s="18"/>
      <c r="H57" s="17"/>
      <c r="I57" s="17"/>
      <c r="J57" s="17"/>
      <c r="K57" s="18"/>
      <c r="L57" s="18"/>
      <c r="M57" s="18"/>
      <c r="N57" s="18"/>
      <c r="O57" s="18"/>
    </row>
    <row r="58" spans="6:15" ht="15">
      <c r="F58" s="17"/>
      <c r="G58" s="18"/>
      <c r="H58" s="18"/>
      <c r="I58" s="18"/>
      <c r="J58" s="18"/>
      <c r="K58" s="18"/>
      <c r="L58" s="18"/>
      <c r="M58" s="18"/>
      <c r="N58" s="18"/>
      <c r="O58" s="18"/>
    </row>
    <row r="59" spans="6:15" ht="15">
      <c r="F59" s="17"/>
      <c r="G59" s="18"/>
      <c r="H59" s="17"/>
      <c r="I59" s="17"/>
      <c r="J59" s="17"/>
      <c r="K59" s="18"/>
      <c r="L59" s="18"/>
      <c r="M59" s="18"/>
      <c r="N59" s="18"/>
      <c r="O59" s="18"/>
    </row>
    <row r="60" spans="6:15" ht="15">
      <c r="F60" s="17"/>
      <c r="G60" s="18"/>
      <c r="H60" s="19" t="s">
        <v>152</v>
      </c>
      <c r="I60" s="19" t="s">
        <v>153</v>
      </c>
      <c r="J60" s="19" t="s">
        <v>154</v>
      </c>
      <c r="K60" s="18"/>
      <c r="L60" s="18"/>
      <c r="M60" s="18"/>
      <c r="N60" s="18"/>
      <c r="O60" s="18"/>
    </row>
    <row r="61" spans="6:15" ht="15">
      <c r="F61" s="17"/>
      <c r="G61" s="18"/>
      <c r="H61" s="22" t="s">
        <v>148</v>
      </c>
      <c r="I61" s="22" t="s">
        <v>155</v>
      </c>
      <c r="J61" s="23">
        <v>7</v>
      </c>
      <c r="K61" s="18"/>
      <c r="L61" s="18"/>
      <c r="M61" s="18"/>
      <c r="N61" s="18"/>
      <c r="O61" s="18"/>
    </row>
    <row r="62" spans="6:15" ht="15">
      <c r="F62" s="17"/>
      <c r="G62" s="18"/>
      <c r="H62" s="43" t="s">
        <v>149</v>
      </c>
      <c r="I62" s="43" t="s">
        <v>156</v>
      </c>
      <c r="J62" s="44">
        <v>5</v>
      </c>
      <c r="K62" s="18"/>
      <c r="L62" s="18"/>
      <c r="M62" s="18"/>
      <c r="N62" s="18"/>
      <c r="O62" s="18"/>
    </row>
    <row r="63" spans="6:15" ht="15">
      <c r="F63" s="17"/>
      <c r="G63" s="18"/>
      <c r="H63" s="24" t="s">
        <v>150</v>
      </c>
      <c r="I63" s="24" t="s">
        <v>157</v>
      </c>
      <c r="J63" s="25">
        <v>2</v>
      </c>
      <c r="K63" s="18"/>
      <c r="L63" s="18"/>
      <c r="M63" s="18"/>
      <c r="N63" s="18"/>
      <c r="O63" s="18"/>
    </row>
    <row r="64" spans="6:15" ht="15">
      <c r="F64" s="17"/>
      <c r="G64" s="18"/>
      <c r="H64" s="51" t="s">
        <v>151</v>
      </c>
      <c r="I64" s="51" t="s">
        <v>161</v>
      </c>
      <c r="J64" s="52">
        <v>0</v>
      </c>
      <c r="K64" s="18"/>
      <c r="L64" s="18"/>
      <c r="M64" s="18"/>
      <c r="N64" s="18"/>
      <c r="O64" s="18"/>
    </row>
    <row r="65" spans="6:15" ht="15">
      <c r="F65" s="17"/>
      <c r="G65" s="18"/>
      <c r="H65" s="17"/>
      <c r="I65" s="17"/>
      <c r="J65" s="17"/>
      <c r="K65" s="18"/>
      <c r="L65" s="18"/>
      <c r="M65" s="18"/>
      <c r="N65" s="18"/>
      <c r="O65" s="18"/>
    </row>
    <row r="66" spans="6:15" ht="15">
      <c r="F66" s="17"/>
      <c r="G66" s="18"/>
      <c r="H66" s="17"/>
      <c r="I66" s="17"/>
      <c r="J66" s="17"/>
      <c r="K66" s="18"/>
      <c r="L66" s="18"/>
      <c r="M66" s="18"/>
      <c r="N66" s="18"/>
      <c r="O66" s="18"/>
    </row>
    <row r="67" spans="6:15" ht="15">
      <c r="F67" s="17"/>
      <c r="G67" s="18"/>
      <c r="H67" s="19" t="s">
        <v>152</v>
      </c>
      <c r="I67" s="19" t="s">
        <v>165</v>
      </c>
      <c r="J67" s="19" t="s">
        <v>166</v>
      </c>
      <c r="K67" s="18"/>
      <c r="L67" s="18"/>
      <c r="M67" s="18"/>
      <c r="N67" s="18"/>
      <c r="O67" s="18"/>
    </row>
    <row r="68" spans="6:15" ht="15">
      <c r="F68" s="17"/>
      <c r="G68" s="18"/>
      <c r="H68" s="19" t="s">
        <v>7</v>
      </c>
      <c r="I68" s="19" t="s">
        <v>168</v>
      </c>
      <c r="J68" s="27">
        <v>0.35</v>
      </c>
      <c r="K68" s="18"/>
      <c r="L68" s="18"/>
      <c r="M68" s="18"/>
      <c r="N68" s="18"/>
      <c r="O68" s="18"/>
    </row>
    <row r="69" spans="6:15" ht="15">
      <c r="F69" s="17"/>
      <c r="G69" s="18"/>
      <c r="H69" s="19" t="s">
        <v>120</v>
      </c>
      <c r="I69" s="19" t="s">
        <v>169</v>
      </c>
      <c r="J69" s="27">
        <v>0.2</v>
      </c>
      <c r="K69" s="18"/>
      <c r="L69" s="18"/>
      <c r="M69" s="18"/>
      <c r="N69" s="18"/>
      <c r="O69" s="18"/>
    </row>
    <row r="70" spans="6:15" ht="15">
      <c r="F70" s="17"/>
      <c r="G70" s="18"/>
      <c r="H70" s="19" t="s">
        <v>67</v>
      </c>
      <c r="I70" s="19" t="s">
        <v>170</v>
      </c>
      <c r="J70" s="27">
        <v>0.2</v>
      </c>
      <c r="K70" s="18"/>
      <c r="L70" s="18"/>
      <c r="M70" s="18"/>
      <c r="N70" s="18"/>
      <c r="O70" s="18"/>
    </row>
    <row r="71" spans="6:15" ht="15">
      <c r="F71" s="17"/>
      <c r="G71" s="18"/>
      <c r="H71" s="19" t="s">
        <v>94</v>
      </c>
      <c r="I71" s="19" t="s">
        <v>171</v>
      </c>
      <c r="J71" s="27">
        <v>0.2</v>
      </c>
      <c r="K71" s="18"/>
      <c r="L71" s="18"/>
      <c r="M71" s="18"/>
      <c r="N71" s="18"/>
      <c r="O71" s="18"/>
    </row>
    <row r="72" spans="6:15" ht="15">
      <c r="F72" s="17"/>
      <c r="G72" s="18"/>
      <c r="H72" s="19" t="s">
        <v>40</v>
      </c>
      <c r="I72" s="19" t="s">
        <v>172</v>
      </c>
      <c r="J72" s="27">
        <v>0.05</v>
      </c>
      <c r="K72" s="18"/>
      <c r="L72" s="18"/>
      <c r="M72" s="18"/>
      <c r="N72" s="18"/>
      <c r="O72" s="18"/>
    </row>
    <row r="73" spans="6:15" ht="15">
      <c r="F73" s="17"/>
      <c r="G73" s="18"/>
      <c r="H73" s="17"/>
      <c r="I73" s="17"/>
      <c r="J73" s="17"/>
      <c r="K73" s="18"/>
      <c r="L73" s="18"/>
      <c r="M73" s="18"/>
      <c r="N73" s="18"/>
      <c r="O73" s="18"/>
    </row>
    <row r="74" spans="6:15" ht="15">
      <c r="F74" s="17"/>
      <c r="G74" s="18"/>
      <c r="H74" s="17"/>
      <c r="I74" s="17"/>
      <c r="J74" s="17"/>
      <c r="K74" s="18"/>
      <c r="L74" s="18"/>
      <c r="M74" s="18"/>
      <c r="N74" s="18"/>
      <c r="O74" s="18"/>
    </row>
    <row r="75" spans="6:15" ht="15">
      <c r="F75" s="17"/>
      <c r="G75" s="18"/>
      <c r="H75" s="17"/>
      <c r="I75" s="17"/>
      <c r="J75" s="17"/>
      <c r="K75" s="18"/>
      <c r="L75" s="18"/>
      <c r="M75" s="18"/>
      <c r="N75" s="18"/>
      <c r="O75" s="18"/>
    </row>
    <row r="76" spans="6:15" ht="15">
      <c r="F76" s="17"/>
      <c r="G76" s="19" t="s">
        <v>201</v>
      </c>
      <c r="H76" s="19" t="s">
        <v>202</v>
      </c>
      <c r="I76" s="19" t="s">
        <v>152</v>
      </c>
      <c r="J76" s="19" t="s">
        <v>153</v>
      </c>
      <c r="K76" s="19" t="s">
        <v>173</v>
      </c>
      <c r="L76" s="18"/>
      <c r="M76" s="18"/>
      <c r="N76" s="18"/>
      <c r="O76" s="18"/>
    </row>
    <row r="77" spans="6:15" ht="15.6">
      <c r="F77" s="17"/>
      <c r="G77" s="55">
        <v>6</v>
      </c>
      <c r="H77" s="55">
        <v>7</v>
      </c>
      <c r="I77" s="22" t="s">
        <v>148</v>
      </c>
      <c r="J77" s="22" t="s">
        <v>174</v>
      </c>
      <c r="K77" s="22" t="s">
        <v>175</v>
      </c>
      <c r="L77" s="18"/>
      <c r="M77" s="18"/>
      <c r="N77" s="18"/>
      <c r="O77" s="18"/>
    </row>
    <row r="78" spans="6:15" ht="15.6">
      <c r="F78" s="17"/>
      <c r="G78" s="56">
        <v>5</v>
      </c>
      <c r="H78" s="56">
        <v>5.9</v>
      </c>
      <c r="I78" s="45" t="s">
        <v>149</v>
      </c>
      <c r="J78" s="45" t="s">
        <v>156</v>
      </c>
      <c r="K78" s="45" t="s">
        <v>176</v>
      </c>
      <c r="L78" s="18"/>
      <c r="M78" s="18"/>
      <c r="N78" s="18"/>
      <c r="O78" s="18"/>
    </row>
    <row r="79" spans="6:15" ht="15.6">
      <c r="F79" s="17"/>
      <c r="G79" s="57">
        <v>2</v>
      </c>
      <c r="H79" s="57">
        <v>4.9000000000000004</v>
      </c>
      <c r="I79" s="28" t="s">
        <v>150</v>
      </c>
      <c r="J79" s="28" t="s">
        <v>177</v>
      </c>
      <c r="K79" s="28" t="s">
        <v>178</v>
      </c>
      <c r="L79" s="18"/>
      <c r="M79" s="18"/>
      <c r="N79" s="18"/>
      <c r="O79" s="18"/>
    </row>
    <row r="80" spans="6:15" ht="15.6">
      <c r="F80" s="29"/>
      <c r="G80" s="58">
        <v>0</v>
      </c>
      <c r="H80" s="58">
        <v>1.9</v>
      </c>
      <c r="I80" s="54" t="s">
        <v>151</v>
      </c>
      <c r="J80" s="54" t="s">
        <v>161</v>
      </c>
      <c r="K80" s="54" t="s">
        <v>179</v>
      </c>
      <c r="L80" s="30"/>
      <c r="M80" s="30"/>
      <c r="N80" s="18"/>
      <c r="O80" s="18"/>
    </row>
    <row r="81" spans="6:15" ht="15">
      <c r="F81" s="29"/>
      <c r="G81" s="30"/>
      <c r="H81" s="29"/>
      <c r="I81" s="29"/>
      <c r="J81" s="29"/>
      <c r="K81" s="29"/>
      <c r="L81" s="29"/>
      <c r="M81" s="30"/>
      <c r="N81" s="30"/>
      <c r="O81" s="18"/>
    </row>
    <row r="82" spans="6:15" ht="15">
      <c r="F82" s="29"/>
      <c r="G82" s="30"/>
      <c r="H82" s="29"/>
      <c r="I82" s="29"/>
      <c r="J82" s="29"/>
      <c r="K82" s="29"/>
      <c r="L82" s="29"/>
      <c r="M82" s="30"/>
      <c r="N82" s="30"/>
      <c r="O82" s="18"/>
    </row>
    <row r="83" spans="6:15" ht="12" customHeight="1">
      <c r="F83" s="29"/>
      <c r="G83" s="71" t="s">
        <v>203</v>
      </c>
      <c r="H83" s="71" t="s">
        <v>204</v>
      </c>
      <c r="I83" s="71" t="s">
        <v>152</v>
      </c>
      <c r="J83" s="71" t="s">
        <v>153</v>
      </c>
      <c r="K83" s="29"/>
      <c r="L83" s="29"/>
      <c r="M83" s="29"/>
      <c r="N83" s="29"/>
      <c r="O83" s="29"/>
    </row>
    <row r="84" spans="6:15" ht="31.2">
      <c r="F84" s="29"/>
      <c r="G84" s="72">
        <v>-7</v>
      </c>
      <c r="H84" s="72">
        <v>-0.50009999999999999</v>
      </c>
      <c r="I84" s="73" t="s">
        <v>205</v>
      </c>
      <c r="J84" s="74" t="s">
        <v>210</v>
      </c>
      <c r="K84" s="29"/>
      <c r="L84" s="29"/>
      <c r="M84" s="29"/>
      <c r="N84" s="29"/>
      <c r="O84" s="29"/>
    </row>
    <row r="85" spans="6:15" ht="15.6">
      <c r="F85" s="29"/>
      <c r="G85" s="75">
        <v>-0.5</v>
      </c>
      <c r="H85" s="75">
        <v>-0.2001</v>
      </c>
      <c r="I85" s="76" t="s">
        <v>206</v>
      </c>
      <c r="J85" s="77" t="s">
        <v>211</v>
      </c>
      <c r="K85" s="29"/>
      <c r="L85" s="29"/>
      <c r="M85" s="29"/>
      <c r="N85" s="29"/>
      <c r="O85" s="29"/>
    </row>
    <row r="86" spans="6:15" ht="15.75" customHeight="1">
      <c r="F86" s="29"/>
      <c r="G86" s="78">
        <v>-0.2</v>
      </c>
      <c r="H86" s="78">
        <v>-0.01</v>
      </c>
      <c r="I86" s="79" t="s">
        <v>207</v>
      </c>
      <c r="J86" s="80" t="s">
        <v>212</v>
      </c>
      <c r="K86" s="29"/>
      <c r="L86" s="29"/>
      <c r="M86" s="29"/>
      <c r="N86" s="29"/>
      <c r="O86" s="29"/>
    </row>
    <row r="87" spans="6:15" ht="15.75" customHeight="1">
      <c r="F87" s="29"/>
      <c r="G87" s="81">
        <v>-8.9999999999999993E-3</v>
      </c>
      <c r="H87" s="81">
        <v>8.9999999999999993E-3</v>
      </c>
      <c r="I87" s="82" t="s">
        <v>208</v>
      </c>
      <c r="J87" s="83" t="s">
        <v>213</v>
      </c>
      <c r="K87" s="29"/>
      <c r="L87" s="29"/>
      <c r="M87" s="29"/>
      <c r="N87" s="29"/>
      <c r="O87" s="29"/>
    </row>
    <row r="88" spans="6:15" ht="15.75" customHeight="1">
      <c r="F88" s="29"/>
      <c r="G88" s="84">
        <v>0.01</v>
      </c>
      <c r="H88" s="84">
        <v>7</v>
      </c>
      <c r="I88" s="85" t="s">
        <v>209</v>
      </c>
      <c r="J88" s="86" t="s">
        <v>214</v>
      </c>
      <c r="K88" s="29"/>
      <c r="L88" s="29"/>
      <c r="M88" s="29"/>
      <c r="N88" s="29"/>
      <c r="O88" s="29"/>
    </row>
    <row r="89" spans="6:15" ht="15.75" customHeight="1">
      <c r="F89" s="29"/>
      <c r="G89" s="29"/>
      <c r="H89" s="29"/>
      <c r="I89" s="29"/>
      <c r="J89" s="29"/>
      <c r="K89" s="29"/>
      <c r="L89" s="29"/>
      <c r="M89" s="29"/>
      <c r="N89" s="29"/>
      <c r="O89" s="29"/>
    </row>
    <row r="90" spans="6:15" ht="15.75" customHeight="1">
      <c r="F90" s="29"/>
      <c r="G90" s="29"/>
      <c r="H90" s="29"/>
      <c r="I90" s="29"/>
      <c r="J90" s="29"/>
      <c r="K90" s="29"/>
      <c r="L90" s="29"/>
      <c r="M90" s="29"/>
      <c r="N90" s="29"/>
      <c r="O90" s="29"/>
    </row>
    <row r="91" spans="6:15" ht="15.75" customHeight="1">
      <c r="F91" s="29"/>
      <c r="G91" s="29"/>
      <c r="H91" s="29"/>
      <c r="I91" s="29"/>
      <c r="J91" s="29"/>
      <c r="K91" s="29"/>
      <c r="L91" s="29"/>
      <c r="M91" s="29"/>
      <c r="N91" s="29"/>
      <c r="O91" s="29"/>
    </row>
    <row r="92" spans="6:15" ht="15.75" customHeight="1">
      <c r="F92" s="29"/>
      <c r="G92" s="29"/>
      <c r="H92" s="29"/>
      <c r="I92" s="29"/>
      <c r="J92" s="29"/>
      <c r="K92" s="29"/>
      <c r="L92" s="29"/>
      <c r="M92" s="29"/>
      <c r="N92" s="29"/>
      <c r="O92" s="29"/>
    </row>
    <row r="93" spans="6:15" ht="15.75" customHeight="1">
      <c r="F93" s="29"/>
      <c r="G93" s="29"/>
      <c r="H93" s="29"/>
      <c r="I93" s="29"/>
      <c r="J93" s="29"/>
      <c r="K93" s="29"/>
      <c r="L93" s="29"/>
      <c r="M93" s="29"/>
      <c r="N93" s="29"/>
      <c r="O93" s="29"/>
    </row>
    <row r="94" spans="6:15" ht="15.75" customHeight="1">
      <c r="F94" s="29"/>
      <c r="G94" s="29"/>
      <c r="H94" s="29"/>
      <c r="I94" s="29"/>
      <c r="J94" s="29"/>
      <c r="K94" s="29"/>
      <c r="L94" s="29"/>
      <c r="M94" s="29"/>
      <c r="N94" s="29"/>
      <c r="O94" s="29"/>
    </row>
    <row r="95" spans="6:15" ht="15.75" customHeight="1">
      <c r="F95" s="29"/>
      <c r="G95" s="29"/>
      <c r="H95" s="29"/>
      <c r="I95" s="29"/>
      <c r="J95" s="29"/>
      <c r="K95" s="29"/>
      <c r="L95" s="29"/>
      <c r="M95" s="29"/>
      <c r="N95" s="29"/>
      <c r="O95" s="29"/>
    </row>
    <row r="96" spans="6:15" ht="15.75" customHeight="1">
      <c r="F96" s="29"/>
      <c r="G96" s="29"/>
      <c r="H96" s="29"/>
      <c r="I96" s="29"/>
      <c r="J96" s="29"/>
      <c r="K96" s="29"/>
      <c r="L96" s="29"/>
      <c r="M96" s="29"/>
      <c r="N96" s="29"/>
      <c r="O96" s="29"/>
    </row>
    <row r="97" spans="6:15" ht="15.75" customHeight="1">
      <c r="F97" s="29"/>
      <c r="G97" s="29"/>
      <c r="H97" s="29"/>
      <c r="I97" s="29"/>
      <c r="J97" s="29"/>
      <c r="K97" s="29"/>
      <c r="L97" s="29"/>
      <c r="M97" s="29"/>
      <c r="N97" s="29"/>
      <c r="O97" s="29"/>
    </row>
    <row r="106" spans="6:15" ht="15.75" customHeight="1">
      <c r="I106" s="2" t="s">
        <v>158</v>
      </c>
      <c r="J106" s="2" t="s">
        <v>159</v>
      </c>
      <c r="K106" s="2" t="s">
        <v>160</v>
      </c>
    </row>
    <row r="107" spans="6:15" ht="15.75" customHeight="1">
      <c r="I107" s="26" t="s">
        <v>162</v>
      </c>
      <c r="J107" s="26">
        <f>COUNTIF(I12:I32,"Critical")</f>
        <v>10</v>
      </c>
      <c r="K107" s="26">
        <f>COUNTIF(T13:T32,"Critical")</f>
        <v>0</v>
      </c>
    </row>
    <row r="108" spans="6:15" ht="15.75" customHeight="1">
      <c r="I108" s="26" t="s">
        <v>163</v>
      </c>
      <c r="J108" s="26">
        <f>COUNTIF(I12:I32,"Severe")</f>
        <v>3</v>
      </c>
      <c r="K108" s="26">
        <f>COUNTIF(T13:T32,"Severe")</f>
        <v>6</v>
      </c>
    </row>
    <row r="109" spans="6:15" ht="15.75" customHeight="1">
      <c r="I109" s="26" t="s">
        <v>164</v>
      </c>
      <c r="J109" s="26">
        <f>COUNTIF(I12:I32,"Moderate")</f>
        <v>7</v>
      </c>
      <c r="K109" s="26">
        <f>COUNTIF(T13:T32,"Moderate")</f>
        <v>7</v>
      </c>
    </row>
    <row r="110" spans="6:15" ht="15.75" customHeight="1">
      <c r="I110" s="26" t="s">
        <v>167</v>
      </c>
      <c r="J110" s="26">
        <f>COUNTIF(I12:I32,"Sustainable")</f>
        <v>0</v>
      </c>
      <c r="K110" s="26">
        <f>COUNTIF(T13:T32,"Sustainable")</f>
        <v>7</v>
      </c>
    </row>
  </sheetData>
  <mergeCells count="66">
    <mergeCell ref="AE36:AE38"/>
    <mergeCell ref="AB13:AB16"/>
    <mergeCell ref="AB17:AB20"/>
    <mergeCell ref="AB21:AB24"/>
    <mergeCell ref="AB25:AB28"/>
    <mergeCell ref="AB29:AB32"/>
    <mergeCell ref="AC13:AC16"/>
    <mergeCell ref="AC17:AC20"/>
    <mergeCell ref="AC21:AC24"/>
    <mergeCell ref="AC25:AC28"/>
    <mergeCell ref="AC29:AC32"/>
    <mergeCell ref="V25:V28"/>
    <mergeCell ref="W25:W28"/>
    <mergeCell ref="V29:V32"/>
    <mergeCell ref="W29:W32"/>
    <mergeCell ref="J33:L33"/>
    <mergeCell ref="U33:W33"/>
    <mergeCell ref="V13:V16"/>
    <mergeCell ref="W13:W16"/>
    <mergeCell ref="V17:V20"/>
    <mergeCell ref="W17:W20"/>
    <mergeCell ref="V21:V24"/>
    <mergeCell ref="W21:W24"/>
    <mergeCell ref="L13:L16"/>
    <mergeCell ref="L17:L20"/>
    <mergeCell ref="L21:L24"/>
    <mergeCell ref="L25:L28"/>
    <mergeCell ref="L29:L32"/>
    <mergeCell ref="F47:O47"/>
    <mergeCell ref="A13:A16"/>
    <mergeCell ref="M13:M16"/>
    <mergeCell ref="O13:O16"/>
    <mergeCell ref="AD13:AD16"/>
    <mergeCell ref="M17:M20"/>
    <mergeCell ref="O17:O20"/>
    <mergeCell ref="AD17:AD20"/>
    <mergeCell ref="A17:A20"/>
    <mergeCell ref="X13:X16"/>
    <mergeCell ref="X17:X20"/>
    <mergeCell ref="K13:K16"/>
    <mergeCell ref="K17:K20"/>
    <mergeCell ref="K21:K24"/>
    <mergeCell ref="K25:K28"/>
    <mergeCell ref="K29:K32"/>
    <mergeCell ref="A21:A24"/>
    <mergeCell ref="M21:M24"/>
    <mergeCell ref="O21:O24"/>
    <mergeCell ref="A25:A28"/>
    <mergeCell ref="O25:O28"/>
    <mergeCell ref="M25:M28"/>
    <mergeCell ref="A29:A32"/>
    <mergeCell ref="O29:O32"/>
    <mergeCell ref="X29:X32"/>
    <mergeCell ref="AD36:AD38"/>
    <mergeCell ref="M29:M32"/>
    <mergeCell ref="I36:N38"/>
    <mergeCell ref="O36:O38"/>
    <mergeCell ref="P36:Q38"/>
    <mergeCell ref="AB36:AB38"/>
    <mergeCell ref="AC36:AC38"/>
    <mergeCell ref="Y36:AA38"/>
    <mergeCell ref="X21:X24"/>
    <mergeCell ref="AD21:AD24"/>
    <mergeCell ref="X25:X28"/>
    <mergeCell ref="AD25:AD28"/>
    <mergeCell ref="AD29:AD32"/>
  </mergeCells>
  <phoneticPr fontId="25" type="noConversion"/>
  <conditionalFormatting sqref="G13:H32">
    <cfRule type="containsText" dxfId="158" priority="39" operator="containsText" text="Very Low">
      <formula>NOT(ISERROR(SEARCH("Very Low",G13)))</formula>
    </cfRule>
    <cfRule type="containsText" dxfId="157" priority="40" operator="containsText" text="Low">
      <formula>NOT(ISERROR(SEARCH("Low",G13)))</formula>
    </cfRule>
    <cfRule type="containsText" dxfId="156" priority="41" operator="containsText" text="Medium">
      <formula>NOT(ISERROR(SEARCH("Medium",G13)))</formula>
    </cfRule>
    <cfRule type="containsText" dxfId="155" priority="42" operator="containsText" text="Very High">
      <formula>NOT(ISERROR(SEARCH("Very High",G13)))</formula>
    </cfRule>
    <cfRule type="containsText" dxfId="154" priority="43" operator="containsText" text="High">
      <formula>NOT(ISERROR(SEARCH("High",G13)))</formula>
    </cfRule>
  </conditionalFormatting>
  <conditionalFormatting sqref="I13:I32">
    <cfRule type="containsText" dxfId="153" priority="79" operator="containsText" text="Severe">
      <formula>NOT(ISERROR(SEARCH("Severe",I13)))</formula>
    </cfRule>
    <cfRule type="containsText" dxfId="152" priority="80" operator="containsText" text="Critical">
      <formula>NOT(ISERROR(SEARCH(("Critical"),(I13))))</formula>
    </cfRule>
    <cfRule type="containsText" dxfId="151" priority="81" operator="containsText" text="Sustainable">
      <formula>NOT(ISERROR(SEARCH("Sustainable",I13)))</formula>
    </cfRule>
    <cfRule type="containsText" dxfId="150" priority="82" operator="containsText" text="Moderate">
      <formula>NOT(ISERROR(SEARCH(("Moderate"),(I13))))</formula>
    </cfRule>
  </conditionalFormatting>
  <conditionalFormatting sqref="L13 L17 L21 L25 L29">
    <cfRule type="containsText" dxfId="149" priority="52" operator="containsText" text="Severe">
      <formula>NOT(ISERROR(SEARCH("Severe",L13)))</formula>
    </cfRule>
    <cfRule type="containsText" dxfId="148" priority="53" operator="containsText" text="Critical">
      <formula>NOT(ISERROR(SEARCH(("Critical"),(L13))))</formula>
    </cfRule>
    <cfRule type="containsText" dxfId="147" priority="54" operator="containsText" text="Sustainable">
      <formula>NOT(ISERROR(SEARCH("Sustainable",L13)))</formula>
    </cfRule>
    <cfRule type="containsText" dxfId="146" priority="55" operator="containsText" text="Moderate">
      <formula>NOT(ISERROR(SEARCH(("Moderate"),(L13))))</formula>
    </cfRule>
  </conditionalFormatting>
  <conditionalFormatting sqref="O33">
    <cfRule type="expression" dxfId="145" priority="30">
      <formula>AND($O33&gt;=$G$80,$O33&lt;=$H$80)</formula>
    </cfRule>
    <cfRule type="expression" dxfId="144" priority="31">
      <formula>AND($O33&gt;=$G$79,$O33&lt;=$H$79)</formula>
    </cfRule>
    <cfRule type="expression" dxfId="143" priority="32">
      <formula>AND($O33&gt;=$G$78,$O33&lt;=$H$78)</formula>
    </cfRule>
    <cfRule type="expression" dxfId="142" priority="33">
      <formula>AND($O33&gt;=$G$77,$O33&lt;=$H$77)</formula>
    </cfRule>
  </conditionalFormatting>
  <conditionalFormatting sqref="R13:S32">
    <cfRule type="containsText" dxfId="141" priority="15" operator="containsText" text="Very Low">
      <formula>NOT(ISERROR(SEARCH("Very Low",R13)))</formula>
    </cfRule>
    <cfRule type="containsText" dxfId="140" priority="16" operator="containsText" text="Low">
      <formula>NOT(ISERROR(SEARCH("Low",R13)))</formula>
    </cfRule>
    <cfRule type="containsText" dxfId="139" priority="17" operator="containsText" text="Medium">
      <formula>NOT(ISERROR(SEARCH("Medium",R13)))</formula>
    </cfRule>
    <cfRule type="containsText" dxfId="138" priority="18" operator="containsText" text="Very High">
      <formula>NOT(ISERROR(SEARCH("Very High",R13)))</formula>
    </cfRule>
    <cfRule type="containsText" dxfId="137" priority="19" operator="containsText" text="High">
      <formula>NOT(ISERROR(SEARCH("High",R13)))</formula>
    </cfRule>
  </conditionalFormatting>
  <conditionalFormatting sqref="T13:T32">
    <cfRule type="containsText" dxfId="136" priority="83" operator="containsText" text="critical">
      <formula>NOT(ISERROR(SEARCH(("critical"),(T13))))</formula>
    </cfRule>
    <cfRule type="containsText" dxfId="135" priority="84" operator="containsText" text="Sustainable">
      <formula>NOT(ISERROR(SEARCH("Sustainable",T13)))</formula>
    </cfRule>
    <cfRule type="containsText" dxfId="134" priority="85" operator="containsText" text="severe">
      <formula>NOT(ISERROR(SEARCH("severe",T13)))</formula>
    </cfRule>
    <cfRule type="containsText" dxfId="133" priority="86" operator="containsText" text="Moderate">
      <formula>NOT(ISERROR(SEARCH(("Moderate"),(T13))))</formula>
    </cfRule>
  </conditionalFormatting>
  <conditionalFormatting sqref="W13 W17 W21 W25 W29">
    <cfRule type="containsText" dxfId="132" priority="44" operator="containsText" text="Severe">
      <formula>NOT(ISERROR(SEARCH("Severe",W13)))</formula>
    </cfRule>
    <cfRule type="containsText" dxfId="131" priority="45" operator="containsText" text="Critical">
      <formula>NOT(ISERROR(SEARCH(("Critical"),(W13))))</formula>
    </cfRule>
    <cfRule type="containsText" dxfId="130" priority="46" operator="containsText" text="Sustainable">
      <formula>NOT(ISERROR(SEARCH("Sustainable",W13)))</formula>
    </cfRule>
    <cfRule type="containsText" dxfId="129" priority="47" operator="containsText" text="Moderate">
      <formula>NOT(ISERROR(SEARCH(("Moderate"),(W13))))</formula>
    </cfRule>
  </conditionalFormatting>
  <conditionalFormatting sqref="AA13:AC13 AA14:AA32 AB17:AC17 AB21:AC21 AB25:AC25 AB29:AC29 AC34">
    <cfRule type="containsText" dxfId="128" priority="10" operator="containsText" text="Regression">
      <formula>NOT(ISERROR(SEARCH("Regression",AA13)))</formula>
    </cfRule>
    <cfRule type="containsText" dxfId="127" priority="11" operator="containsText" text="No Change">
      <formula>NOT(ISERROR(SEARCH("No Change",AA13)))</formula>
    </cfRule>
    <cfRule type="containsText" dxfId="126" priority="12" operator="containsText" text="Slight Improvement">
      <formula>NOT(ISERROR(SEARCH("Slight Improvement",AA13)))</formula>
    </cfRule>
    <cfRule type="containsText" dxfId="125" priority="13" operator="containsText" text="Moderate Improvement">
      <formula>NOT(ISERROR(SEARCH("Moderate Improvement",AA13)))</formula>
    </cfRule>
    <cfRule type="containsText" dxfId="124" priority="14" operator="containsText" text="Strong Improvement">
      <formula>NOT(ISERROR(SEARCH("Strong Improvement",AA13)))</formula>
    </cfRule>
  </conditionalFormatting>
  <conditionalFormatting sqref="AB36">
    <cfRule type="containsText" dxfId="123" priority="1" operator="containsText" text="Regression">
      <formula>NOT(ISERROR(SEARCH("Regression",AB36)))</formula>
    </cfRule>
    <cfRule type="containsText" dxfId="122" priority="2" operator="containsText" text="No Change">
      <formula>NOT(ISERROR(SEARCH("No Change",AB36)))</formula>
    </cfRule>
    <cfRule type="containsText" dxfId="121" priority="3" operator="containsText" text="Slight Improvement">
      <formula>NOT(ISERROR(SEARCH("Slight Improvement",AB36)))</formula>
    </cfRule>
    <cfRule type="containsText" dxfId="120" priority="4" operator="containsText" text="Moderate Improvement">
      <formula>NOT(ISERROR(SEARCH("Moderate Improvement",AB36)))</formula>
    </cfRule>
    <cfRule type="containsText" dxfId="119" priority="5" operator="containsText" text="Strong Improvement">
      <formula>NOT(ISERROR(SEARCH("Strong Improvement",AB36)))</formula>
    </cfRule>
  </conditionalFormatting>
  <conditionalFormatting sqref="AD33">
    <cfRule type="expression" dxfId="118" priority="71">
      <formula>AND($AD$33&gt;=0,$AD$33&lt;2)</formula>
    </cfRule>
    <cfRule type="expression" dxfId="117" priority="72">
      <formula>AND($AD$33&gt;=2,$AD$33&lt;5)</formula>
    </cfRule>
    <cfRule type="expression" dxfId="116" priority="73">
      <formula>AND($AD$33&gt;=5,$AD$33&lt;6)</formula>
    </cfRule>
    <cfRule type="expression" dxfId="115" priority="74">
      <formula>AND($AD$33&gt;=6,$AD$33&lt;=7)</formula>
    </cfRule>
  </conditionalFormatting>
  <conditionalFormatting sqref="AD36:AD38 O36:O39">
    <cfRule type="containsText" dxfId="114" priority="87" operator="containsText" text="Critical">
      <formula>NOT(ISERROR(SEARCH(("Critical"),(O36))))</formula>
    </cfRule>
    <cfRule type="containsText" dxfId="113" priority="88" operator="containsText" text="Moderate">
      <formula>NOT(ISERROR(SEARCH(("Moderate"),(O36))))</formula>
    </cfRule>
    <cfRule type="containsText" dxfId="112" priority="89" operator="containsText" text="Severe">
      <formula>NOT(ISERROR(SEARCH("Severe",O36)))</formula>
    </cfRule>
    <cfRule type="containsText" dxfId="111" priority="90" operator="containsText" text="Sustainable">
      <formula>NOT(ISERROR(SEARCH("Sustainable",O36)))</formula>
    </cfRule>
  </conditionalFormatting>
  <dataValidations count="2">
    <dataValidation type="list" allowBlank="1" showErrorMessage="1" sqref="G13:H32" xr:uid="{00000000-0002-0000-0000-000000000000}">
      <formula1>"Very Low,Low,Medium,High,Very High"</formula1>
    </dataValidation>
    <dataValidation type="list" allowBlank="1" showErrorMessage="1" sqref="R13:S32" xr:uid="{F99D2B7D-5979-4BA8-81BD-53F3D61680C5}">
      <formula1>"Low,Very Low,Medium,High,Very High"</formula1>
    </dataValidation>
  </dataValidations>
  <pageMargins left="0.7" right="0.7" top="0.75" bottom="0.75" header="0.3" footer="0.3"/>
  <pageSetup paperSize="9"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outlinePr summaryBelow="0" summaryRight="0"/>
  </sheetPr>
  <dimension ref="A1:W187"/>
  <sheetViews>
    <sheetView tabSelected="1" topLeftCell="A2" zoomScale="25" zoomScaleNormal="25" workbookViewId="0">
      <selection activeCell="M8" sqref="M8"/>
    </sheetView>
  </sheetViews>
  <sheetFormatPr defaultColWidth="12.6640625" defaultRowHeight="15.75" customHeight="1"/>
  <cols>
    <col min="7" max="7" width="12" customWidth="1"/>
    <col min="8" max="8" width="12.5546875" customWidth="1"/>
    <col min="9" max="9" width="83.6640625" bestFit="1" customWidth="1"/>
    <col min="10" max="10" width="120.44140625" bestFit="1" customWidth="1"/>
    <col min="11" max="11" width="65.109375" bestFit="1" customWidth="1"/>
    <col min="12" max="12" width="116.5546875" bestFit="1" customWidth="1"/>
    <col min="13" max="13" width="63.21875" bestFit="1" customWidth="1"/>
    <col min="23" max="23" width="71.6640625" customWidth="1"/>
  </cols>
  <sheetData>
    <row r="1" spans="1:23" ht="51">
      <c r="A1" s="36"/>
      <c r="B1" s="37"/>
      <c r="C1" s="37"/>
      <c r="D1" s="37"/>
      <c r="E1" s="37"/>
      <c r="F1" s="37"/>
      <c r="G1" s="37"/>
      <c r="H1" s="37"/>
      <c r="I1" s="37"/>
      <c r="J1" s="37"/>
      <c r="K1" s="37"/>
      <c r="L1" s="37"/>
      <c r="M1" s="37"/>
      <c r="N1" s="37"/>
      <c r="O1" s="37"/>
      <c r="P1" s="37"/>
      <c r="Q1" s="37"/>
      <c r="R1" s="37"/>
      <c r="S1" s="37"/>
      <c r="T1" s="37"/>
      <c r="U1" s="37"/>
      <c r="V1" s="37"/>
      <c r="W1" s="37"/>
    </row>
    <row r="2" spans="1:23" ht="100.8" customHeight="1">
      <c r="A2" s="37"/>
      <c r="B2" s="37"/>
      <c r="C2" s="37"/>
      <c r="D2" s="37"/>
      <c r="E2" s="37"/>
      <c r="F2" s="37"/>
      <c r="G2" s="37"/>
      <c r="H2" s="37"/>
      <c r="I2" s="133" t="s">
        <v>199</v>
      </c>
      <c r="J2" s="133"/>
      <c r="K2" s="133"/>
      <c r="L2" s="133"/>
      <c r="M2" s="37"/>
      <c r="N2" s="37"/>
      <c r="O2" s="37"/>
      <c r="P2" s="37"/>
      <c r="Q2" s="37"/>
      <c r="R2" s="37"/>
      <c r="S2" s="37"/>
      <c r="T2" s="37"/>
      <c r="U2" s="37"/>
      <c r="V2" s="37"/>
      <c r="W2" s="37"/>
    </row>
    <row r="3" spans="1:23" ht="15.75" customHeight="1">
      <c r="A3" s="37"/>
      <c r="B3" s="37"/>
      <c r="C3" s="37"/>
      <c r="D3" s="37"/>
      <c r="E3" s="37"/>
      <c r="F3" s="37"/>
      <c r="G3" s="37"/>
      <c r="H3" s="37"/>
      <c r="I3" s="37"/>
      <c r="J3" s="37"/>
      <c r="K3" s="37"/>
      <c r="L3" s="37"/>
      <c r="M3" s="37"/>
      <c r="N3" s="37"/>
      <c r="O3" s="37"/>
      <c r="P3" s="37"/>
      <c r="Q3" s="37"/>
      <c r="R3" s="37"/>
      <c r="S3" s="37"/>
      <c r="T3" s="37"/>
      <c r="U3" s="37"/>
      <c r="V3" s="37"/>
      <c r="W3" s="37"/>
    </row>
    <row r="4" spans="1:23" ht="15.75" customHeight="1">
      <c r="A4" s="37"/>
      <c r="B4" s="37"/>
      <c r="C4" s="37"/>
      <c r="D4" s="37"/>
      <c r="E4" s="37"/>
      <c r="F4" s="37"/>
      <c r="G4" s="37"/>
      <c r="H4" s="37"/>
      <c r="I4" s="37"/>
      <c r="J4" s="37"/>
      <c r="K4" s="37"/>
      <c r="L4" s="37"/>
      <c r="M4" s="37"/>
      <c r="N4" s="37"/>
      <c r="O4" s="37"/>
      <c r="P4" s="37"/>
      <c r="Q4" s="37"/>
      <c r="R4" s="37"/>
      <c r="S4" s="37"/>
      <c r="T4" s="37"/>
      <c r="U4" s="37"/>
      <c r="V4" s="37"/>
      <c r="W4" s="37"/>
    </row>
    <row r="5" spans="1:23" ht="15.75" customHeight="1" thickBot="1">
      <c r="A5" s="37"/>
      <c r="B5" s="37"/>
      <c r="C5" s="37"/>
      <c r="D5" s="37"/>
      <c r="E5" s="37"/>
      <c r="F5" s="37"/>
      <c r="G5" s="37"/>
      <c r="H5" s="37"/>
      <c r="I5" s="37"/>
      <c r="J5" s="37"/>
      <c r="K5" s="37"/>
      <c r="L5" s="38"/>
      <c r="M5" s="38"/>
      <c r="N5" s="37"/>
      <c r="O5" s="37"/>
      <c r="P5" s="37"/>
      <c r="Q5" s="37"/>
      <c r="R5" s="37"/>
      <c r="S5" s="37"/>
      <c r="T5" s="37"/>
      <c r="U5" s="37"/>
      <c r="V5" s="37"/>
      <c r="W5" s="37"/>
    </row>
    <row r="6" spans="1:23" ht="63.6" customHeight="1" thickBot="1">
      <c r="A6" s="37"/>
      <c r="B6" s="37"/>
      <c r="C6" s="37"/>
      <c r="D6" s="37"/>
      <c r="E6" s="37"/>
      <c r="F6" s="37"/>
      <c r="G6" s="37"/>
      <c r="H6" s="37"/>
      <c r="I6" s="68" t="s">
        <v>152</v>
      </c>
      <c r="J6" s="69" t="s">
        <v>216</v>
      </c>
      <c r="K6" s="69" t="s">
        <v>218</v>
      </c>
      <c r="L6" s="70" t="s">
        <v>217</v>
      </c>
      <c r="M6" s="37"/>
      <c r="N6" s="37"/>
      <c r="O6" s="37"/>
      <c r="P6" s="37"/>
      <c r="Q6" s="37"/>
      <c r="R6" s="37"/>
      <c r="S6" s="37"/>
      <c r="T6" s="37"/>
      <c r="U6" s="37"/>
      <c r="V6" s="37"/>
      <c r="W6" s="37"/>
    </row>
    <row r="7" spans="1:23" ht="13.2">
      <c r="A7" s="37"/>
      <c r="B7" s="37"/>
      <c r="C7" s="37"/>
      <c r="D7" s="37"/>
      <c r="E7" s="37"/>
      <c r="F7" s="37"/>
      <c r="G7" s="37"/>
      <c r="H7" s="37"/>
      <c r="I7" s="121" t="s">
        <v>7</v>
      </c>
      <c r="J7" s="124" t="str">
        <f>'Risk Table'!L13</f>
        <v>Critical</v>
      </c>
      <c r="K7" s="130" t="str">
        <f>'Risk Table'!AC13</f>
        <v>Strong Improvement</v>
      </c>
      <c r="L7" s="127" t="str">
        <f>'Risk Table'!W13</f>
        <v>Sustainable</v>
      </c>
      <c r="M7" s="37"/>
      <c r="N7" s="37"/>
      <c r="O7" s="37"/>
      <c r="P7" s="37"/>
      <c r="Q7" s="37"/>
      <c r="R7" s="37"/>
      <c r="S7" s="37"/>
      <c r="T7" s="37"/>
      <c r="U7" s="37"/>
      <c r="V7" s="37"/>
      <c r="W7" s="37"/>
    </row>
    <row r="8" spans="1:23" ht="57" customHeight="1" thickBot="1">
      <c r="A8" s="37"/>
      <c r="B8" s="37"/>
      <c r="C8" s="37"/>
      <c r="D8" s="37"/>
      <c r="E8" s="37"/>
      <c r="F8" s="37"/>
      <c r="G8" s="37"/>
      <c r="H8" s="37"/>
      <c r="I8" s="122"/>
      <c r="J8" s="125"/>
      <c r="K8" s="131"/>
      <c r="L8" s="128"/>
      <c r="M8" s="37"/>
      <c r="N8" s="37"/>
      <c r="O8" s="37"/>
      <c r="P8" s="37"/>
      <c r="Q8" s="37"/>
      <c r="R8" s="37"/>
      <c r="S8" s="37"/>
      <c r="T8" s="37"/>
      <c r="U8" s="37"/>
      <c r="V8" s="37"/>
      <c r="W8" s="37"/>
    </row>
    <row r="9" spans="1:23" ht="15.6" hidden="1" customHeight="1" thickBot="1">
      <c r="A9" s="37"/>
      <c r="B9" s="37"/>
      <c r="C9" s="37"/>
      <c r="D9" s="37"/>
      <c r="E9" s="37"/>
      <c r="F9" s="37"/>
      <c r="G9" s="37"/>
      <c r="H9" s="37"/>
      <c r="I9" s="122"/>
      <c r="J9" s="125"/>
      <c r="K9" s="131"/>
      <c r="L9" s="128"/>
      <c r="M9" s="37"/>
      <c r="N9" s="37"/>
      <c r="O9" s="37"/>
      <c r="P9" s="37"/>
      <c r="Q9" s="37"/>
      <c r="R9" s="37"/>
      <c r="S9" s="37"/>
      <c r="T9" s="37"/>
      <c r="U9" s="37"/>
      <c r="V9" s="37"/>
      <c r="W9" s="37"/>
    </row>
    <row r="10" spans="1:23" ht="15.6" hidden="1" customHeight="1" thickBot="1">
      <c r="A10" s="37"/>
      <c r="B10" s="37"/>
      <c r="C10" s="37"/>
      <c r="D10" s="37"/>
      <c r="E10" s="37"/>
      <c r="F10" s="37"/>
      <c r="G10" s="37"/>
      <c r="H10" s="37"/>
      <c r="I10" s="123"/>
      <c r="J10" s="126"/>
      <c r="K10" s="132"/>
      <c r="L10" s="129"/>
      <c r="M10" s="37"/>
      <c r="N10" s="37"/>
      <c r="O10" s="37"/>
      <c r="P10" s="37"/>
      <c r="Q10" s="37"/>
      <c r="R10" s="37"/>
      <c r="S10" s="37"/>
      <c r="T10" s="37"/>
      <c r="U10" s="37"/>
      <c r="V10" s="37"/>
      <c r="W10" s="37"/>
    </row>
    <row r="11" spans="1:23" ht="15.75" customHeight="1">
      <c r="A11" s="37"/>
      <c r="B11" s="37"/>
      <c r="C11" s="37"/>
      <c r="D11" s="37"/>
      <c r="E11" s="37"/>
      <c r="F11" s="37"/>
      <c r="G11" s="37"/>
      <c r="H11" s="37"/>
      <c r="I11" s="121" t="s">
        <v>40</v>
      </c>
      <c r="J11" s="124" t="str">
        <f>'Risk Table'!L17</f>
        <v>Severe</v>
      </c>
      <c r="K11" s="130" t="str">
        <f>'Risk Table'!AC17</f>
        <v>Slight Improvement</v>
      </c>
      <c r="L11" s="127" t="str">
        <f>'Risk Table'!W17</f>
        <v>Moderate</v>
      </c>
      <c r="M11" s="37"/>
      <c r="N11" s="37"/>
      <c r="O11" s="37"/>
      <c r="P11" s="37"/>
      <c r="Q11" s="37"/>
      <c r="R11" s="37"/>
      <c r="S11" s="37"/>
      <c r="T11" s="37"/>
      <c r="U11" s="37"/>
      <c r="V11" s="37"/>
      <c r="W11" s="37"/>
    </row>
    <row r="12" spans="1:23" ht="15.75" customHeight="1">
      <c r="A12" s="37"/>
      <c r="B12" s="37"/>
      <c r="C12" s="37"/>
      <c r="D12" s="37"/>
      <c r="E12" s="37"/>
      <c r="F12" s="37"/>
      <c r="G12" s="37"/>
      <c r="H12" s="37"/>
      <c r="I12" s="122"/>
      <c r="J12" s="125"/>
      <c r="K12" s="131"/>
      <c r="L12" s="128"/>
      <c r="M12" s="37"/>
      <c r="N12" s="37"/>
      <c r="O12" s="37"/>
      <c r="P12" s="37"/>
      <c r="Q12" s="37"/>
      <c r="R12" s="37"/>
      <c r="S12" s="37"/>
      <c r="T12" s="37"/>
      <c r="U12" s="37"/>
      <c r="V12" s="37"/>
      <c r="W12" s="37"/>
    </row>
    <row r="13" spans="1:23" ht="15.75" customHeight="1">
      <c r="A13" s="37"/>
      <c r="B13" s="37"/>
      <c r="C13" s="37"/>
      <c r="D13" s="37"/>
      <c r="E13" s="37"/>
      <c r="F13" s="37"/>
      <c r="G13" s="37"/>
      <c r="H13" s="37"/>
      <c r="I13" s="122"/>
      <c r="J13" s="125"/>
      <c r="K13" s="131"/>
      <c r="L13" s="128"/>
      <c r="M13" s="37"/>
      <c r="N13" s="37"/>
      <c r="O13" s="37"/>
      <c r="P13" s="37"/>
      <c r="Q13" s="37"/>
      <c r="R13" s="37"/>
      <c r="S13" s="37"/>
      <c r="T13" s="37"/>
      <c r="U13" s="37"/>
      <c r="V13" s="37"/>
      <c r="W13" s="37"/>
    </row>
    <row r="14" spans="1:23" ht="15.75" customHeight="1" thickBot="1">
      <c r="A14" s="37"/>
      <c r="B14" s="37"/>
      <c r="C14" s="37"/>
      <c r="D14" s="37"/>
      <c r="E14" s="37"/>
      <c r="F14" s="37"/>
      <c r="G14" s="37"/>
      <c r="H14" s="37"/>
      <c r="I14" s="123"/>
      <c r="J14" s="126"/>
      <c r="K14" s="132"/>
      <c r="L14" s="129"/>
      <c r="M14" s="37"/>
      <c r="N14" s="37"/>
      <c r="O14" s="37"/>
      <c r="P14" s="37"/>
      <c r="Q14" s="37"/>
      <c r="R14" s="37"/>
      <c r="S14" s="37"/>
      <c r="T14" s="37"/>
      <c r="U14" s="37"/>
      <c r="V14" s="37"/>
      <c r="W14" s="37"/>
    </row>
    <row r="15" spans="1:23" ht="15.75" customHeight="1">
      <c r="A15" s="37"/>
      <c r="B15" s="37"/>
      <c r="C15" s="37"/>
      <c r="D15" s="37"/>
      <c r="E15" s="37"/>
      <c r="F15" s="37"/>
      <c r="G15" s="37"/>
      <c r="H15" s="37"/>
      <c r="I15" s="121" t="s">
        <v>67</v>
      </c>
      <c r="J15" s="124" t="str">
        <f>'Risk Table'!L21</f>
        <v>Severe</v>
      </c>
      <c r="K15" s="130" t="str">
        <f>'Risk Table'!AC21</f>
        <v>Moderate Improvement</v>
      </c>
      <c r="L15" s="127" t="str">
        <f>'Risk Table'!W21</f>
        <v>Moderate</v>
      </c>
      <c r="M15" s="37"/>
      <c r="N15" s="37"/>
      <c r="O15" s="37"/>
      <c r="P15" s="37"/>
      <c r="Q15" s="37"/>
      <c r="R15" s="37"/>
      <c r="S15" s="37"/>
      <c r="T15" s="37"/>
      <c r="U15" s="37"/>
      <c r="V15" s="37"/>
      <c r="W15" s="37"/>
    </row>
    <row r="16" spans="1:23" ht="15.75" customHeight="1">
      <c r="A16" s="37"/>
      <c r="B16" s="37"/>
      <c r="C16" s="37"/>
      <c r="D16" s="37"/>
      <c r="E16" s="37"/>
      <c r="F16" s="37"/>
      <c r="G16" s="37"/>
      <c r="H16" s="37"/>
      <c r="I16" s="122"/>
      <c r="J16" s="125"/>
      <c r="K16" s="131"/>
      <c r="L16" s="128"/>
      <c r="M16" s="37"/>
      <c r="N16" s="37"/>
      <c r="O16" s="37"/>
      <c r="P16" s="37"/>
      <c r="Q16" s="37"/>
      <c r="R16" s="37"/>
      <c r="S16" s="37"/>
      <c r="T16" s="37"/>
      <c r="U16" s="37"/>
      <c r="V16" s="37"/>
      <c r="W16" s="37"/>
    </row>
    <row r="17" spans="1:23" ht="15.75" customHeight="1">
      <c r="A17" s="37"/>
      <c r="B17" s="37"/>
      <c r="C17" s="37"/>
      <c r="D17" s="37"/>
      <c r="E17" s="37"/>
      <c r="F17" s="37"/>
      <c r="G17" s="37"/>
      <c r="H17" s="37"/>
      <c r="I17" s="122"/>
      <c r="J17" s="125"/>
      <c r="K17" s="131"/>
      <c r="L17" s="128"/>
      <c r="M17" s="37"/>
      <c r="N17" s="37"/>
      <c r="O17" s="37"/>
      <c r="P17" s="37"/>
      <c r="Q17" s="37"/>
      <c r="R17" s="37"/>
      <c r="S17" s="37"/>
      <c r="T17" s="37"/>
      <c r="U17" s="37"/>
      <c r="V17" s="37"/>
      <c r="W17" s="37"/>
    </row>
    <row r="18" spans="1:23" ht="15.75" customHeight="1" thickBot="1">
      <c r="A18" s="37"/>
      <c r="B18" s="37"/>
      <c r="C18" s="37"/>
      <c r="D18" s="37"/>
      <c r="E18" s="37"/>
      <c r="F18" s="37"/>
      <c r="G18" s="37"/>
      <c r="H18" s="37"/>
      <c r="I18" s="123"/>
      <c r="J18" s="126"/>
      <c r="K18" s="132"/>
      <c r="L18" s="129"/>
      <c r="M18" s="37"/>
      <c r="N18" s="37"/>
      <c r="O18" s="37"/>
      <c r="P18" s="37"/>
      <c r="Q18" s="37"/>
      <c r="R18" s="37"/>
      <c r="S18" s="37"/>
      <c r="T18" s="37"/>
      <c r="U18" s="37"/>
      <c r="V18" s="37"/>
      <c r="W18" s="37"/>
    </row>
    <row r="19" spans="1:23" ht="15.75" customHeight="1">
      <c r="A19" s="37"/>
      <c r="B19" s="37"/>
      <c r="C19" s="37"/>
      <c r="D19" s="37"/>
      <c r="E19" s="37"/>
      <c r="F19" s="37"/>
      <c r="G19" s="37"/>
      <c r="H19" s="37"/>
      <c r="I19" s="121" t="s">
        <v>94</v>
      </c>
      <c r="J19" s="124" t="str">
        <f>'Risk Table'!L25</f>
        <v>Moderate</v>
      </c>
      <c r="K19" s="130" t="str">
        <f>'Risk Table'!AC25</f>
        <v>Moderate Improvement</v>
      </c>
      <c r="L19" s="127" t="str">
        <f>'Risk Table'!W25</f>
        <v>Sustainable</v>
      </c>
      <c r="M19" s="37"/>
      <c r="N19" s="37"/>
      <c r="O19" s="37"/>
      <c r="P19" s="37"/>
      <c r="Q19" s="37"/>
      <c r="R19" s="37"/>
      <c r="S19" s="37"/>
      <c r="T19" s="37"/>
      <c r="U19" s="37"/>
      <c r="V19" s="37"/>
      <c r="W19" s="37"/>
    </row>
    <row r="20" spans="1:23" ht="15.75" customHeight="1">
      <c r="A20" s="37"/>
      <c r="B20" s="37"/>
      <c r="C20" s="37"/>
      <c r="D20" s="37"/>
      <c r="E20" s="37"/>
      <c r="F20" s="37"/>
      <c r="G20" s="37"/>
      <c r="H20" s="37"/>
      <c r="I20" s="122"/>
      <c r="J20" s="125"/>
      <c r="K20" s="131"/>
      <c r="L20" s="128"/>
      <c r="M20" s="37"/>
      <c r="N20" s="37"/>
      <c r="O20" s="37"/>
      <c r="P20" s="37"/>
      <c r="Q20" s="37"/>
      <c r="R20" s="37"/>
      <c r="S20" s="37"/>
      <c r="T20" s="37"/>
      <c r="U20" s="37"/>
      <c r="V20" s="37"/>
      <c r="W20" s="37"/>
    </row>
    <row r="21" spans="1:23" ht="15.75" customHeight="1">
      <c r="A21" s="37"/>
      <c r="B21" s="37"/>
      <c r="C21" s="37"/>
      <c r="D21" s="37"/>
      <c r="E21" s="37"/>
      <c r="F21" s="37"/>
      <c r="G21" s="37"/>
      <c r="H21" s="37"/>
      <c r="I21" s="122"/>
      <c r="J21" s="125"/>
      <c r="K21" s="131"/>
      <c r="L21" s="128"/>
      <c r="M21" s="37"/>
      <c r="N21" s="37"/>
      <c r="O21" s="37"/>
      <c r="P21" s="37"/>
      <c r="Q21" s="37"/>
      <c r="R21" s="37"/>
      <c r="S21" s="37"/>
      <c r="T21" s="37"/>
      <c r="U21" s="37"/>
      <c r="V21" s="37"/>
      <c r="W21" s="37"/>
    </row>
    <row r="22" spans="1:23" ht="15.75" customHeight="1" thickBot="1">
      <c r="A22" s="37"/>
      <c r="B22" s="37"/>
      <c r="C22" s="37"/>
      <c r="D22" s="37"/>
      <c r="E22" s="37"/>
      <c r="F22" s="37"/>
      <c r="G22" s="37"/>
      <c r="H22" s="37"/>
      <c r="I22" s="123"/>
      <c r="J22" s="126"/>
      <c r="K22" s="132"/>
      <c r="L22" s="129"/>
      <c r="M22" s="37"/>
      <c r="N22" s="37"/>
      <c r="O22" s="37"/>
      <c r="P22" s="37"/>
      <c r="Q22" s="37"/>
      <c r="R22" s="37"/>
      <c r="S22" s="37"/>
      <c r="T22" s="37"/>
      <c r="U22" s="37"/>
      <c r="V22" s="37"/>
      <c r="W22" s="37"/>
    </row>
    <row r="23" spans="1:23" ht="15.75" customHeight="1">
      <c r="A23" s="37"/>
      <c r="B23" s="37"/>
      <c r="C23" s="37"/>
      <c r="D23" s="37"/>
      <c r="E23" s="37"/>
      <c r="F23" s="37"/>
      <c r="G23" s="37"/>
      <c r="H23" s="37"/>
      <c r="I23" s="121" t="s">
        <v>120</v>
      </c>
      <c r="J23" s="124" t="str">
        <f>'Risk Table'!L29</f>
        <v>Moderate</v>
      </c>
      <c r="K23" s="130" t="str">
        <f>'Risk Table'!AC29</f>
        <v>Strong Improvement</v>
      </c>
      <c r="L23" s="127" t="str">
        <f>'Risk Table'!W29</f>
        <v>Sustainable</v>
      </c>
      <c r="M23" s="37"/>
      <c r="N23" s="37"/>
      <c r="O23" s="37"/>
      <c r="P23" s="37"/>
      <c r="Q23" s="37"/>
      <c r="R23" s="37"/>
      <c r="S23" s="37"/>
      <c r="T23" s="37"/>
      <c r="U23" s="37"/>
      <c r="V23" s="37"/>
      <c r="W23" s="37"/>
    </row>
    <row r="24" spans="1:23" ht="15.75" customHeight="1">
      <c r="A24" s="37"/>
      <c r="B24" s="37"/>
      <c r="C24" s="37"/>
      <c r="D24" s="37"/>
      <c r="E24" s="37"/>
      <c r="F24" s="37"/>
      <c r="G24" s="37"/>
      <c r="H24" s="37"/>
      <c r="I24" s="122"/>
      <c r="J24" s="125"/>
      <c r="K24" s="131"/>
      <c r="L24" s="128"/>
      <c r="M24" s="37"/>
      <c r="N24" s="37"/>
      <c r="O24" s="37"/>
      <c r="P24" s="37"/>
      <c r="Q24" s="37"/>
      <c r="R24" s="37"/>
      <c r="S24" s="37"/>
      <c r="T24" s="37"/>
      <c r="U24" s="37"/>
      <c r="V24" s="37"/>
      <c r="W24" s="37"/>
    </row>
    <row r="25" spans="1:23" ht="15.75" customHeight="1">
      <c r="A25" s="37"/>
      <c r="B25" s="37"/>
      <c r="C25" s="37"/>
      <c r="D25" s="37"/>
      <c r="E25" s="37"/>
      <c r="F25" s="37"/>
      <c r="G25" s="37"/>
      <c r="H25" s="37"/>
      <c r="I25" s="122"/>
      <c r="J25" s="125"/>
      <c r="K25" s="131"/>
      <c r="L25" s="128"/>
      <c r="M25" s="37"/>
      <c r="N25" s="37"/>
      <c r="O25" s="37"/>
      <c r="P25" s="37"/>
      <c r="Q25" s="37"/>
      <c r="R25" s="37"/>
      <c r="S25" s="37"/>
      <c r="T25" s="37"/>
      <c r="U25" s="37"/>
      <c r="V25" s="37"/>
      <c r="W25" s="37"/>
    </row>
    <row r="26" spans="1:23" ht="15.75" customHeight="1" thickBot="1">
      <c r="A26" s="37"/>
      <c r="B26" s="37"/>
      <c r="C26" s="37"/>
      <c r="D26" s="37"/>
      <c r="E26" s="37"/>
      <c r="F26" s="37"/>
      <c r="G26" s="37"/>
      <c r="H26" s="37"/>
      <c r="I26" s="123"/>
      <c r="J26" s="126"/>
      <c r="K26" s="132"/>
      <c r="L26" s="129"/>
      <c r="M26" s="37"/>
      <c r="N26" s="37"/>
      <c r="O26" s="37"/>
      <c r="P26" s="37"/>
      <c r="Q26" s="37"/>
      <c r="R26" s="37"/>
      <c r="S26" s="37"/>
      <c r="T26" s="37"/>
      <c r="U26" s="37"/>
      <c r="V26" s="37"/>
      <c r="W26" s="37"/>
    </row>
    <row r="27" spans="1:23" ht="15.75" customHeight="1">
      <c r="A27" s="37"/>
      <c r="B27" s="37"/>
      <c r="C27" s="37"/>
      <c r="D27" s="37"/>
      <c r="E27" s="37"/>
      <c r="F27" s="37"/>
      <c r="G27" s="37"/>
      <c r="H27" s="37"/>
      <c r="I27" s="121" t="s">
        <v>219</v>
      </c>
      <c r="J27" s="124" t="str">
        <f>'Risk Table'!O36</f>
        <v>Severe</v>
      </c>
      <c r="K27" s="130" t="str">
        <f>'Risk Table'!AB36</f>
        <v>Strong Improvement</v>
      </c>
      <c r="L27" s="134" t="str">
        <f>'Risk Table'!AD36</f>
        <v>Moderate</v>
      </c>
      <c r="M27" s="37"/>
      <c r="N27" s="37"/>
      <c r="O27" s="37"/>
      <c r="P27" s="37"/>
      <c r="Q27" s="37"/>
      <c r="R27" s="37"/>
      <c r="S27" s="37"/>
      <c r="T27" s="37"/>
      <c r="U27" s="37"/>
      <c r="V27" s="37"/>
      <c r="W27" s="37"/>
    </row>
    <row r="28" spans="1:23" ht="15.75" customHeight="1">
      <c r="A28" s="37"/>
      <c r="B28" s="37"/>
      <c r="C28" s="37"/>
      <c r="D28" s="37"/>
      <c r="E28" s="37"/>
      <c r="F28" s="37"/>
      <c r="G28" s="37"/>
      <c r="H28" s="37"/>
      <c r="I28" s="122"/>
      <c r="J28" s="125"/>
      <c r="K28" s="131"/>
      <c r="L28" s="135"/>
      <c r="M28" s="37"/>
      <c r="N28" s="37"/>
      <c r="O28" s="37"/>
      <c r="P28" s="37"/>
      <c r="Q28" s="37"/>
      <c r="R28" s="37"/>
      <c r="S28" s="37"/>
      <c r="T28" s="37"/>
      <c r="U28" s="37"/>
      <c r="V28" s="37"/>
      <c r="W28" s="37"/>
    </row>
    <row r="29" spans="1:23" ht="15.75" customHeight="1">
      <c r="A29" s="37"/>
      <c r="B29" s="37"/>
      <c r="C29" s="37"/>
      <c r="D29" s="37"/>
      <c r="E29" s="37"/>
      <c r="F29" s="37"/>
      <c r="G29" s="37"/>
      <c r="H29" s="37"/>
      <c r="I29" s="122"/>
      <c r="J29" s="125"/>
      <c r="K29" s="131"/>
      <c r="L29" s="135"/>
      <c r="M29" s="37"/>
      <c r="N29" s="37"/>
      <c r="O29" s="37"/>
      <c r="P29" s="37"/>
      <c r="Q29" s="37"/>
      <c r="R29" s="37"/>
      <c r="S29" s="37"/>
      <c r="T29" s="37"/>
      <c r="U29" s="37"/>
      <c r="V29" s="37"/>
      <c r="W29" s="37"/>
    </row>
    <row r="30" spans="1:23" ht="15.75" customHeight="1" thickBot="1">
      <c r="A30" s="37"/>
      <c r="B30" s="37"/>
      <c r="C30" s="37"/>
      <c r="D30" s="37"/>
      <c r="E30" s="37"/>
      <c r="F30" s="37"/>
      <c r="G30" s="37"/>
      <c r="H30" s="37"/>
      <c r="I30" s="123"/>
      <c r="J30" s="126"/>
      <c r="K30" s="132"/>
      <c r="L30" s="136"/>
      <c r="M30" s="37"/>
      <c r="N30" s="37"/>
      <c r="O30" s="37"/>
      <c r="P30" s="37"/>
      <c r="Q30" s="37"/>
      <c r="R30" s="37"/>
      <c r="S30" s="37"/>
      <c r="T30" s="37"/>
      <c r="U30" s="37"/>
      <c r="V30" s="37"/>
      <c r="W30" s="37"/>
    </row>
    <row r="31" spans="1:23" ht="15.75" customHeight="1">
      <c r="A31" s="37"/>
      <c r="B31" s="37"/>
      <c r="C31" s="37"/>
      <c r="D31" s="37"/>
      <c r="E31" s="37"/>
      <c r="F31" s="37"/>
      <c r="G31" s="37"/>
      <c r="H31" s="37"/>
      <c r="I31" s="37"/>
      <c r="J31" s="37"/>
      <c r="K31" s="37"/>
      <c r="L31" s="37"/>
      <c r="M31" s="37"/>
      <c r="N31" s="37"/>
      <c r="O31" s="37"/>
      <c r="P31" s="37"/>
      <c r="Q31" s="37"/>
      <c r="R31" s="37"/>
      <c r="S31" s="37"/>
      <c r="T31" s="37"/>
      <c r="U31" s="37"/>
      <c r="V31" s="37"/>
      <c r="W31" s="37"/>
    </row>
    <row r="32" spans="1:23" ht="15.75" customHeight="1">
      <c r="A32" s="37"/>
      <c r="B32" s="37"/>
      <c r="C32" s="37"/>
      <c r="D32" s="37"/>
      <c r="E32" s="37"/>
      <c r="F32" s="37"/>
      <c r="G32" s="37"/>
      <c r="H32" s="37"/>
      <c r="I32" s="37"/>
      <c r="J32" s="37"/>
      <c r="K32" s="37"/>
      <c r="L32" s="37"/>
      <c r="M32" s="37"/>
      <c r="N32" s="37"/>
      <c r="O32" s="37"/>
      <c r="P32" s="37"/>
      <c r="Q32" s="37"/>
      <c r="R32" s="37"/>
      <c r="S32" s="37"/>
      <c r="T32" s="37"/>
      <c r="U32" s="37"/>
      <c r="V32" s="37"/>
      <c r="W32" s="37"/>
    </row>
    <row r="33" spans="1:23" ht="15.75" customHeight="1">
      <c r="A33" s="37"/>
      <c r="B33" s="37"/>
      <c r="C33" s="37"/>
      <c r="D33" s="37"/>
      <c r="E33" s="37"/>
      <c r="F33" s="37"/>
      <c r="G33" s="37"/>
      <c r="H33" s="37"/>
      <c r="I33" s="37"/>
      <c r="J33" s="37"/>
      <c r="K33" s="37"/>
      <c r="L33" s="37"/>
      <c r="M33" s="37"/>
      <c r="N33" s="37"/>
      <c r="O33" s="37"/>
      <c r="P33" s="37"/>
      <c r="Q33" s="37"/>
      <c r="R33" s="37"/>
      <c r="S33" s="37"/>
      <c r="T33" s="37"/>
      <c r="U33" s="37"/>
      <c r="V33" s="37"/>
      <c r="W33" s="37"/>
    </row>
    <row r="34" spans="1:23" ht="15.75" customHeight="1">
      <c r="A34" s="37"/>
      <c r="B34" s="37"/>
      <c r="C34" s="37"/>
      <c r="D34" s="37"/>
      <c r="E34" s="37"/>
      <c r="F34" s="37"/>
      <c r="G34" s="37"/>
      <c r="H34" s="37"/>
      <c r="I34" s="37"/>
      <c r="J34" s="37"/>
      <c r="K34" s="37"/>
      <c r="L34" s="37"/>
      <c r="M34" s="37"/>
      <c r="N34" s="37"/>
      <c r="O34" s="37"/>
      <c r="P34" s="37"/>
      <c r="Q34" s="37"/>
      <c r="R34" s="37"/>
      <c r="S34" s="37"/>
      <c r="T34" s="37"/>
      <c r="U34" s="37"/>
      <c r="V34" s="37"/>
      <c r="W34" s="37"/>
    </row>
    <row r="35" spans="1:23" ht="15.75" customHeight="1">
      <c r="A35" s="37"/>
      <c r="B35" s="37"/>
      <c r="C35" s="37"/>
      <c r="D35" s="37"/>
      <c r="E35" s="37"/>
      <c r="F35" s="37"/>
      <c r="G35" s="37"/>
      <c r="H35" s="37"/>
      <c r="I35" s="37"/>
      <c r="J35" s="37"/>
      <c r="K35" s="37"/>
      <c r="L35" s="37"/>
      <c r="M35" s="37"/>
      <c r="N35" s="37"/>
      <c r="O35" s="37"/>
      <c r="P35" s="37"/>
      <c r="Q35" s="37"/>
      <c r="R35" s="37"/>
      <c r="S35" s="37"/>
      <c r="T35" s="37"/>
      <c r="U35" s="37"/>
      <c r="V35" s="37"/>
      <c r="W35" s="37"/>
    </row>
    <row r="36" spans="1:23" ht="15.75" customHeight="1">
      <c r="A36" s="37"/>
      <c r="B36" s="37"/>
      <c r="C36" s="37"/>
      <c r="D36" s="37"/>
      <c r="E36" s="37"/>
      <c r="F36" s="37"/>
      <c r="G36" s="37"/>
      <c r="H36" s="37"/>
      <c r="I36" s="37"/>
      <c r="J36" s="37"/>
      <c r="K36" s="37"/>
      <c r="L36" s="37"/>
      <c r="M36" s="37"/>
      <c r="N36" s="37"/>
      <c r="O36" s="37"/>
      <c r="P36" s="37"/>
      <c r="Q36" s="37"/>
      <c r="R36" s="37"/>
      <c r="S36" s="37"/>
      <c r="T36" s="37"/>
      <c r="U36" s="37"/>
      <c r="V36" s="37"/>
      <c r="W36" s="37"/>
    </row>
    <row r="37" spans="1:23" ht="15.75" customHeight="1">
      <c r="A37" s="37"/>
      <c r="B37" s="37"/>
      <c r="C37" s="37"/>
      <c r="D37" s="37"/>
      <c r="E37" s="37"/>
      <c r="F37" s="37"/>
      <c r="G37" s="37"/>
      <c r="H37" s="37"/>
      <c r="I37" s="37"/>
      <c r="J37" s="37"/>
      <c r="K37" s="37"/>
      <c r="L37" s="37"/>
      <c r="M37" s="37"/>
      <c r="N37" s="37"/>
      <c r="O37" s="37"/>
      <c r="P37" s="37"/>
      <c r="Q37" s="37"/>
      <c r="R37" s="37"/>
      <c r="S37" s="37"/>
      <c r="T37" s="37"/>
      <c r="U37" s="37"/>
      <c r="V37" s="37"/>
      <c r="W37" s="37"/>
    </row>
    <row r="38" spans="1:23" ht="15.75" customHeight="1">
      <c r="A38" s="37"/>
      <c r="B38" s="37"/>
      <c r="C38" s="37"/>
      <c r="D38" s="37"/>
      <c r="E38" s="37"/>
      <c r="F38" s="37"/>
      <c r="G38" s="37"/>
      <c r="H38" s="37"/>
      <c r="I38" s="37"/>
      <c r="J38" s="37"/>
      <c r="K38" s="37"/>
      <c r="L38" s="37"/>
      <c r="M38" s="37"/>
      <c r="N38" s="37"/>
      <c r="O38" s="37"/>
      <c r="P38" s="37"/>
      <c r="Q38" s="37"/>
      <c r="R38" s="37"/>
      <c r="S38" s="37"/>
      <c r="T38" s="37"/>
      <c r="U38" s="37"/>
      <c r="V38" s="37"/>
      <c r="W38" s="37"/>
    </row>
    <row r="39" spans="1:23" ht="15.75" customHeight="1">
      <c r="A39" s="37"/>
      <c r="B39" s="37"/>
      <c r="C39" s="37"/>
      <c r="D39" s="37"/>
      <c r="E39" s="37"/>
      <c r="F39" s="37"/>
      <c r="G39" s="37"/>
      <c r="H39" s="37"/>
      <c r="I39" s="37"/>
      <c r="J39" s="37"/>
      <c r="K39" s="37"/>
      <c r="L39" s="37"/>
      <c r="M39" s="37"/>
      <c r="N39" s="37"/>
      <c r="O39" s="37"/>
      <c r="P39" s="37"/>
      <c r="Q39" s="37"/>
      <c r="R39" s="37"/>
      <c r="S39" s="37"/>
      <c r="T39" s="37"/>
      <c r="U39" s="37"/>
      <c r="V39" s="37"/>
      <c r="W39" s="37"/>
    </row>
    <row r="40" spans="1:23" ht="15.75" customHeight="1">
      <c r="A40" s="37"/>
      <c r="B40" s="37"/>
      <c r="C40" s="37"/>
      <c r="D40" s="37"/>
      <c r="E40" s="37"/>
      <c r="F40" s="37"/>
      <c r="G40" s="37"/>
      <c r="H40" s="37"/>
      <c r="I40" s="37"/>
      <c r="J40" s="37"/>
      <c r="K40" s="37"/>
      <c r="L40" s="37"/>
      <c r="M40" s="37"/>
      <c r="N40" s="37"/>
      <c r="O40" s="37"/>
      <c r="P40" s="37"/>
      <c r="Q40" s="37"/>
      <c r="R40" s="37"/>
      <c r="S40" s="37"/>
      <c r="T40" s="37"/>
      <c r="U40" s="37"/>
      <c r="V40" s="37"/>
      <c r="W40" s="37"/>
    </row>
    <row r="41" spans="1:23" ht="15.75" customHeight="1">
      <c r="A41" s="37"/>
      <c r="B41" s="37"/>
      <c r="C41" s="37"/>
      <c r="D41" s="37"/>
      <c r="E41" s="37"/>
      <c r="F41" s="37"/>
      <c r="G41" s="37"/>
      <c r="H41" s="37"/>
      <c r="I41" s="37"/>
      <c r="J41" s="37"/>
      <c r="K41" s="37"/>
      <c r="L41" s="37"/>
      <c r="M41" s="37"/>
      <c r="N41" s="37"/>
      <c r="O41" s="37"/>
      <c r="P41" s="37"/>
      <c r="Q41" s="37"/>
      <c r="R41" s="37"/>
      <c r="S41" s="37"/>
      <c r="T41" s="37"/>
      <c r="U41" s="37"/>
      <c r="V41" s="37"/>
      <c r="W41" s="37"/>
    </row>
    <row r="42" spans="1:23" ht="15.75" customHeight="1">
      <c r="A42" s="37"/>
      <c r="B42" s="37"/>
      <c r="C42" s="37"/>
      <c r="D42" s="37"/>
      <c r="E42" s="37"/>
      <c r="F42" s="37"/>
      <c r="G42" s="37"/>
      <c r="H42" s="37"/>
      <c r="I42" s="37"/>
      <c r="J42" s="37"/>
      <c r="K42" s="37"/>
      <c r="L42" s="37"/>
      <c r="M42" s="37"/>
      <c r="N42" s="37"/>
      <c r="O42" s="37"/>
      <c r="P42" s="37"/>
      <c r="Q42" s="37"/>
      <c r="R42" s="37"/>
      <c r="S42" s="37"/>
      <c r="T42" s="37"/>
      <c r="U42" s="37"/>
      <c r="V42" s="37"/>
      <c r="W42" s="37"/>
    </row>
    <row r="43" spans="1:23" ht="15.75" customHeight="1">
      <c r="A43" s="37"/>
      <c r="B43" s="37"/>
      <c r="C43" s="37"/>
      <c r="D43" s="37"/>
      <c r="E43" s="37"/>
      <c r="F43" s="37"/>
      <c r="G43" s="37"/>
      <c r="H43" s="37"/>
      <c r="I43" s="37"/>
      <c r="J43" s="37"/>
      <c r="K43" s="37"/>
      <c r="L43" s="37"/>
      <c r="M43" s="37"/>
      <c r="N43" s="37"/>
      <c r="O43" s="37"/>
      <c r="P43" s="37"/>
      <c r="Q43" s="37"/>
      <c r="R43" s="37"/>
      <c r="S43" s="37"/>
      <c r="T43" s="37"/>
      <c r="U43" s="37"/>
      <c r="V43" s="37"/>
      <c r="W43" s="37"/>
    </row>
    <row r="44" spans="1:23" ht="15.75" customHeight="1">
      <c r="A44" s="37"/>
      <c r="B44" s="37"/>
      <c r="C44" s="37"/>
      <c r="D44" s="37"/>
      <c r="E44" s="37"/>
      <c r="F44" s="37"/>
      <c r="G44" s="37"/>
      <c r="H44" s="37"/>
      <c r="I44" s="37"/>
      <c r="J44" s="37"/>
      <c r="K44" s="37"/>
      <c r="L44" s="37"/>
      <c r="M44" s="37"/>
      <c r="N44" s="37"/>
      <c r="O44" s="37"/>
      <c r="P44" s="37"/>
      <c r="Q44" s="37"/>
      <c r="R44" s="37"/>
      <c r="S44" s="37"/>
      <c r="T44" s="37"/>
      <c r="U44" s="37"/>
      <c r="V44" s="37"/>
      <c r="W44" s="37"/>
    </row>
    <row r="45" spans="1:23" ht="15.75" customHeight="1">
      <c r="A45" s="37"/>
      <c r="B45" s="37"/>
      <c r="C45" s="37"/>
      <c r="D45" s="37"/>
      <c r="E45" s="37"/>
      <c r="F45" s="37"/>
      <c r="G45" s="37"/>
      <c r="H45" s="37"/>
      <c r="I45" s="37"/>
      <c r="J45" s="37"/>
      <c r="K45" s="37"/>
      <c r="L45" s="37"/>
      <c r="M45" s="37"/>
      <c r="N45" s="37"/>
      <c r="O45" s="37"/>
      <c r="P45" s="37"/>
      <c r="Q45" s="37"/>
      <c r="R45" s="37"/>
      <c r="S45" s="37"/>
      <c r="T45" s="37"/>
      <c r="U45" s="37"/>
      <c r="V45" s="37"/>
      <c r="W45" s="37"/>
    </row>
    <row r="46" spans="1:23" ht="15.75" customHeight="1">
      <c r="A46" s="37"/>
      <c r="B46" s="37"/>
      <c r="C46" s="37"/>
      <c r="D46" s="37"/>
      <c r="E46" s="37"/>
      <c r="F46" s="37"/>
      <c r="G46" s="37"/>
      <c r="H46" s="37"/>
      <c r="I46" s="37"/>
      <c r="J46" s="37"/>
      <c r="K46" s="37"/>
      <c r="L46" s="37"/>
      <c r="M46" s="37"/>
      <c r="N46" s="37"/>
      <c r="O46" s="37"/>
      <c r="P46" s="37"/>
      <c r="Q46" s="37"/>
      <c r="R46" s="37"/>
      <c r="S46" s="37"/>
      <c r="T46" s="37"/>
      <c r="U46" s="37"/>
      <c r="V46" s="37"/>
      <c r="W46" s="37"/>
    </row>
    <row r="47" spans="1:23" ht="15.75" customHeight="1">
      <c r="A47" s="37"/>
      <c r="B47" s="37"/>
      <c r="C47" s="37"/>
      <c r="D47" s="37"/>
      <c r="E47" s="37"/>
      <c r="F47" s="37"/>
      <c r="G47" s="37"/>
      <c r="H47" s="37"/>
      <c r="I47" s="37"/>
      <c r="J47" s="37"/>
      <c r="K47" s="37"/>
      <c r="L47" s="37"/>
      <c r="M47" s="37"/>
      <c r="N47" s="37"/>
      <c r="O47" s="37"/>
      <c r="P47" s="37"/>
      <c r="Q47" s="37"/>
      <c r="R47" s="37"/>
      <c r="S47" s="37"/>
      <c r="T47" s="37"/>
      <c r="U47" s="37"/>
      <c r="V47" s="37"/>
      <c r="W47" s="37"/>
    </row>
    <row r="48" spans="1:23" ht="15.75" customHeight="1">
      <c r="A48" s="37"/>
      <c r="B48" s="37"/>
      <c r="C48" s="37"/>
      <c r="D48" s="37"/>
      <c r="E48" s="37"/>
      <c r="F48" s="37"/>
      <c r="G48" s="37"/>
      <c r="H48" s="37"/>
      <c r="I48" s="37"/>
      <c r="J48" s="37"/>
      <c r="K48" s="37"/>
      <c r="L48" s="37"/>
      <c r="M48" s="37"/>
      <c r="N48" s="37"/>
      <c r="O48" s="37"/>
      <c r="P48" s="37"/>
      <c r="Q48" s="37"/>
      <c r="R48" s="37"/>
      <c r="S48" s="37"/>
      <c r="T48" s="37"/>
      <c r="U48" s="37"/>
      <c r="V48" s="37"/>
      <c r="W48" s="37"/>
    </row>
    <row r="49" spans="1:23" ht="15.75" customHeight="1">
      <c r="A49" s="37"/>
      <c r="B49" s="37"/>
      <c r="C49" s="37"/>
      <c r="D49" s="37"/>
      <c r="E49" s="37"/>
      <c r="F49" s="37"/>
      <c r="G49" s="37"/>
      <c r="H49" s="37"/>
      <c r="I49" s="37"/>
      <c r="J49" s="37"/>
      <c r="K49" s="37"/>
      <c r="L49" s="37"/>
      <c r="M49" s="37"/>
      <c r="N49" s="37"/>
      <c r="O49" s="37"/>
      <c r="P49" s="37"/>
      <c r="Q49" s="37"/>
      <c r="R49" s="37"/>
      <c r="S49" s="37"/>
      <c r="T49" s="37"/>
      <c r="U49" s="37"/>
      <c r="V49" s="37"/>
      <c r="W49" s="37"/>
    </row>
    <row r="50" spans="1:23" ht="15.75" customHeight="1">
      <c r="A50" s="37"/>
      <c r="B50" s="37"/>
      <c r="C50" s="37"/>
      <c r="D50" s="37"/>
      <c r="E50" s="37"/>
      <c r="F50" s="37"/>
      <c r="G50" s="37"/>
      <c r="H50" s="37"/>
      <c r="I50" s="37"/>
      <c r="J50" s="37"/>
      <c r="K50" s="37"/>
      <c r="L50" s="37"/>
      <c r="M50" s="37"/>
      <c r="N50" s="37"/>
      <c r="O50" s="37"/>
      <c r="P50" s="37"/>
      <c r="Q50" s="37"/>
      <c r="R50" s="37"/>
      <c r="S50" s="37"/>
      <c r="T50" s="37"/>
      <c r="U50" s="37"/>
      <c r="V50" s="37"/>
      <c r="W50" s="37"/>
    </row>
    <row r="51" spans="1:23" ht="15.75" customHeight="1">
      <c r="A51" s="37"/>
      <c r="B51" s="37"/>
      <c r="C51" s="37"/>
      <c r="D51" s="37"/>
      <c r="E51" s="37"/>
      <c r="F51" s="37"/>
      <c r="G51" s="37"/>
      <c r="H51" s="37"/>
      <c r="I51" s="37"/>
      <c r="J51" s="37"/>
      <c r="K51" s="37"/>
      <c r="L51" s="37"/>
      <c r="M51" s="37"/>
      <c r="N51" s="37"/>
      <c r="O51" s="37"/>
      <c r="P51" s="37"/>
      <c r="Q51" s="37"/>
      <c r="R51" s="37"/>
      <c r="S51" s="37"/>
      <c r="T51" s="37"/>
      <c r="U51" s="37"/>
      <c r="V51" s="37"/>
      <c r="W51" s="37"/>
    </row>
    <row r="52" spans="1:23" ht="15.75" customHeight="1">
      <c r="A52" s="37"/>
      <c r="B52" s="37"/>
      <c r="C52" s="37"/>
      <c r="D52" s="37"/>
      <c r="E52" s="37"/>
      <c r="F52" s="37"/>
      <c r="G52" s="37"/>
      <c r="H52" s="37"/>
      <c r="I52" s="37"/>
      <c r="J52" s="37"/>
      <c r="K52" s="37"/>
      <c r="L52" s="37"/>
      <c r="M52" s="37"/>
      <c r="N52" s="37"/>
      <c r="O52" s="37"/>
      <c r="P52" s="37"/>
      <c r="Q52" s="37"/>
      <c r="R52" s="37"/>
      <c r="S52" s="37"/>
      <c r="T52" s="37"/>
      <c r="U52" s="37"/>
      <c r="V52" s="37"/>
      <c r="W52" s="37"/>
    </row>
    <row r="53" spans="1:23" ht="15.75" customHeight="1">
      <c r="A53" s="37"/>
      <c r="B53" s="37"/>
      <c r="C53" s="37"/>
      <c r="D53" s="37"/>
      <c r="E53" s="37"/>
      <c r="F53" s="37"/>
      <c r="G53" s="37"/>
      <c r="H53" s="37"/>
      <c r="I53" s="37"/>
      <c r="J53" s="37"/>
      <c r="K53" s="37"/>
      <c r="L53" s="37"/>
      <c r="M53" s="37"/>
      <c r="N53" s="37"/>
      <c r="O53" s="37"/>
      <c r="P53" s="37"/>
      <c r="Q53" s="37"/>
      <c r="R53" s="37"/>
      <c r="S53" s="37"/>
      <c r="T53" s="37"/>
      <c r="U53" s="37"/>
      <c r="V53" s="37"/>
      <c r="W53" s="37"/>
    </row>
    <row r="54" spans="1:23" ht="15.75" customHeight="1">
      <c r="A54" s="37"/>
      <c r="B54" s="37"/>
      <c r="C54" s="37"/>
      <c r="D54" s="37"/>
      <c r="E54" s="37"/>
      <c r="F54" s="37"/>
      <c r="G54" s="37"/>
      <c r="H54" s="37"/>
      <c r="I54" s="37"/>
      <c r="J54" s="37"/>
      <c r="K54" s="37"/>
      <c r="L54" s="37"/>
      <c r="M54" s="37"/>
      <c r="N54" s="37"/>
      <c r="O54" s="37"/>
      <c r="P54" s="37"/>
      <c r="Q54" s="37"/>
      <c r="R54" s="37"/>
      <c r="S54" s="37"/>
      <c r="T54" s="37"/>
      <c r="U54" s="37"/>
      <c r="V54" s="37"/>
      <c r="W54" s="37"/>
    </row>
    <row r="55" spans="1:23" ht="15.75" customHeight="1">
      <c r="A55" s="37"/>
      <c r="B55" s="37"/>
      <c r="C55" s="37"/>
      <c r="D55" s="37"/>
      <c r="E55" s="37"/>
      <c r="F55" s="37"/>
      <c r="G55" s="37"/>
      <c r="H55" s="37"/>
      <c r="I55" s="37"/>
      <c r="J55" s="37"/>
      <c r="K55" s="37"/>
      <c r="L55" s="37"/>
      <c r="M55" s="37"/>
      <c r="N55" s="37"/>
      <c r="O55" s="37"/>
      <c r="P55" s="37"/>
      <c r="Q55" s="37"/>
      <c r="R55" s="37"/>
      <c r="S55" s="37"/>
      <c r="T55" s="37"/>
      <c r="U55" s="37"/>
      <c r="V55" s="37"/>
      <c r="W55" s="37"/>
    </row>
    <row r="56" spans="1:23" ht="15.75" customHeight="1">
      <c r="A56" s="37"/>
      <c r="B56" s="37"/>
      <c r="C56" s="37"/>
      <c r="D56" s="37"/>
      <c r="E56" s="37"/>
      <c r="F56" s="37"/>
      <c r="G56" s="37"/>
      <c r="H56" s="37"/>
      <c r="I56" s="37"/>
      <c r="J56" s="37"/>
      <c r="K56" s="37"/>
      <c r="L56" s="37"/>
      <c r="M56" s="37"/>
      <c r="N56" s="37"/>
      <c r="O56" s="37"/>
      <c r="P56" s="37"/>
      <c r="Q56" s="37"/>
      <c r="R56" s="37"/>
      <c r="S56" s="37"/>
      <c r="T56" s="37"/>
      <c r="U56" s="37"/>
      <c r="V56" s="37"/>
      <c r="W56" s="37"/>
    </row>
    <row r="57" spans="1:23" ht="15.75" customHeight="1">
      <c r="A57" s="37"/>
      <c r="B57" s="37"/>
      <c r="C57" s="37"/>
      <c r="D57" s="37"/>
      <c r="E57" s="37"/>
      <c r="F57" s="37"/>
      <c r="G57" s="37"/>
      <c r="H57" s="37"/>
      <c r="I57" s="37"/>
      <c r="J57" s="37"/>
      <c r="K57" s="37"/>
      <c r="L57" s="37"/>
      <c r="M57" s="37"/>
      <c r="N57" s="37"/>
      <c r="O57" s="37"/>
      <c r="P57" s="37"/>
      <c r="Q57" s="37"/>
      <c r="R57" s="37"/>
      <c r="S57" s="37"/>
      <c r="T57" s="37"/>
      <c r="U57" s="37"/>
      <c r="V57" s="37"/>
      <c r="W57" s="37"/>
    </row>
    <row r="58" spans="1:23" ht="15.75" customHeight="1">
      <c r="A58" s="37"/>
      <c r="B58" s="37"/>
      <c r="C58" s="37"/>
      <c r="D58" s="37"/>
      <c r="E58" s="37"/>
      <c r="F58" s="37"/>
      <c r="G58" s="37"/>
      <c r="H58" s="37"/>
      <c r="I58" s="37"/>
      <c r="J58" s="37"/>
      <c r="K58" s="37"/>
      <c r="L58" s="37"/>
      <c r="M58" s="37"/>
      <c r="N58" s="37"/>
      <c r="O58" s="37"/>
      <c r="P58" s="37"/>
      <c r="Q58" s="37"/>
      <c r="R58" s="37"/>
      <c r="S58" s="37"/>
      <c r="T58" s="37"/>
      <c r="U58" s="37"/>
      <c r="V58" s="37"/>
      <c r="W58" s="37"/>
    </row>
    <row r="59" spans="1:23" ht="15.75" customHeight="1">
      <c r="A59" s="37"/>
      <c r="B59" s="37"/>
      <c r="C59" s="37"/>
      <c r="D59" s="37"/>
      <c r="E59" s="37"/>
      <c r="F59" s="37"/>
      <c r="G59" s="37"/>
      <c r="H59" s="37"/>
      <c r="I59" s="37"/>
      <c r="J59" s="37"/>
      <c r="K59" s="37"/>
      <c r="L59" s="37"/>
      <c r="M59" s="37"/>
      <c r="N59" s="37"/>
      <c r="O59" s="37"/>
      <c r="P59" s="37"/>
      <c r="Q59" s="37"/>
      <c r="R59" s="37"/>
      <c r="S59" s="37"/>
      <c r="T59" s="37"/>
      <c r="U59" s="37"/>
      <c r="V59" s="37"/>
      <c r="W59" s="37"/>
    </row>
    <row r="60" spans="1:23" ht="15.75" customHeight="1">
      <c r="A60" s="37"/>
      <c r="B60" s="37"/>
      <c r="C60" s="37"/>
      <c r="D60" s="37"/>
      <c r="E60" s="37"/>
      <c r="F60" s="37"/>
      <c r="G60" s="37"/>
      <c r="H60" s="37"/>
      <c r="I60" s="37"/>
      <c r="J60" s="37"/>
      <c r="K60" s="37"/>
      <c r="L60" s="37"/>
      <c r="M60" s="37"/>
      <c r="N60" s="37"/>
      <c r="O60" s="37"/>
      <c r="P60" s="37"/>
      <c r="Q60" s="37"/>
      <c r="R60" s="37"/>
      <c r="S60" s="37"/>
      <c r="T60" s="37"/>
      <c r="U60" s="37"/>
      <c r="V60" s="37"/>
      <c r="W60" s="37"/>
    </row>
    <row r="61" spans="1:23" ht="15.75" customHeight="1">
      <c r="A61" s="37"/>
      <c r="B61" s="37"/>
      <c r="C61" s="37"/>
      <c r="D61" s="37"/>
      <c r="E61" s="37"/>
      <c r="F61" s="37"/>
      <c r="G61" s="37"/>
      <c r="H61" s="37"/>
      <c r="I61" s="37"/>
      <c r="J61" s="37"/>
      <c r="K61" s="37"/>
      <c r="L61" s="37"/>
      <c r="M61" s="37"/>
      <c r="N61" s="37"/>
      <c r="O61" s="37"/>
      <c r="P61" s="37"/>
      <c r="Q61" s="37"/>
      <c r="R61" s="37"/>
      <c r="S61" s="37"/>
      <c r="T61" s="37"/>
      <c r="U61" s="37"/>
      <c r="V61" s="37"/>
      <c r="W61" s="37"/>
    </row>
    <row r="62" spans="1:23" ht="15.75" customHeight="1">
      <c r="A62" s="37"/>
      <c r="B62" s="37"/>
      <c r="C62" s="37"/>
      <c r="D62" s="37"/>
      <c r="E62" s="37"/>
      <c r="F62" s="37"/>
      <c r="G62" s="37"/>
      <c r="H62" s="37"/>
      <c r="I62" s="37"/>
      <c r="J62" s="37"/>
      <c r="K62" s="37"/>
      <c r="L62" s="37"/>
      <c r="M62" s="37"/>
      <c r="N62" s="37"/>
      <c r="O62" s="37"/>
      <c r="P62" s="37"/>
      <c r="Q62" s="37"/>
      <c r="R62" s="37"/>
      <c r="S62" s="37"/>
      <c r="T62" s="37"/>
      <c r="U62" s="37"/>
      <c r="V62" s="37"/>
      <c r="W62" s="37"/>
    </row>
    <row r="63" spans="1:23" ht="15.75" customHeight="1">
      <c r="A63" s="37"/>
      <c r="B63" s="37"/>
      <c r="C63" s="37"/>
      <c r="D63" s="37"/>
      <c r="E63" s="37"/>
      <c r="F63" s="37"/>
      <c r="G63" s="37"/>
      <c r="H63" s="37"/>
      <c r="I63" s="37"/>
      <c r="J63" s="37"/>
      <c r="K63" s="37"/>
      <c r="L63" s="37"/>
      <c r="M63" s="37"/>
      <c r="N63" s="37"/>
      <c r="O63" s="37"/>
      <c r="P63" s="37"/>
      <c r="Q63" s="37"/>
      <c r="R63" s="37"/>
      <c r="S63" s="37"/>
      <c r="T63" s="37"/>
      <c r="U63" s="37"/>
      <c r="V63" s="37"/>
      <c r="W63" s="37"/>
    </row>
    <row r="64" spans="1:23" ht="15.75" customHeight="1">
      <c r="A64" s="37"/>
      <c r="B64" s="37"/>
      <c r="C64" s="37"/>
      <c r="D64" s="37"/>
      <c r="E64" s="37"/>
      <c r="F64" s="37"/>
      <c r="G64" s="37"/>
      <c r="H64" s="37"/>
      <c r="I64" s="37"/>
      <c r="J64" s="37"/>
      <c r="K64" s="37"/>
      <c r="L64" s="37"/>
      <c r="M64" s="37"/>
      <c r="N64" s="37"/>
      <c r="O64" s="37"/>
      <c r="P64" s="37"/>
      <c r="Q64" s="37"/>
      <c r="R64" s="37"/>
      <c r="S64" s="37"/>
      <c r="T64" s="37"/>
      <c r="U64" s="37"/>
      <c r="V64" s="37"/>
      <c r="W64" s="37"/>
    </row>
    <row r="65" spans="1:23" ht="15.75" customHeight="1">
      <c r="A65" s="37"/>
      <c r="B65" s="37"/>
      <c r="C65" s="37"/>
      <c r="D65" s="37"/>
      <c r="E65" s="37"/>
      <c r="F65" s="37"/>
      <c r="G65" s="37"/>
      <c r="H65" s="37"/>
      <c r="I65" s="37"/>
      <c r="J65" s="37"/>
      <c r="K65" s="37"/>
      <c r="L65" s="37"/>
      <c r="M65" s="37"/>
      <c r="N65" s="37"/>
      <c r="O65" s="37"/>
      <c r="P65" s="37"/>
      <c r="Q65" s="37"/>
      <c r="R65" s="37"/>
      <c r="S65" s="37"/>
      <c r="T65" s="37"/>
      <c r="U65" s="37"/>
      <c r="V65" s="37"/>
      <c r="W65" s="37"/>
    </row>
    <row r="66" spans="1:23" ht="15.75" customHeight="1">
      <c r="A66" s="37"/>
      <c r="B66" s="37"/>
      <c r="C66" s="37"/>
      <c r="D66" s="37"/>
      <c r="E66" s="37"/>
      <c r="F66" s="37"/>
      <c r="G66" s="37"/>
      <c r="H66" s="37"/>
      <c r="I66" s="37"/>
      <c r="J66" s="37"/>
      <c r="K66" s="37"/>
      <c r="L66" s="37"/>
      <c r="M66" s="37"/>
      <c r="N66" s="37"/>
      <c r="O66" s="37"/>
      <c r="P66" s="37"/>
      <c r="Q66" s="37"/>
      <c r="R66" s="37"/>
      <c r="S66" s="37"/>
      <c r="T66" s="37"/>
      <c r="U66" s="37"/>
      <c r="V66" s="37"/>
      <c r="W66" s="37"/>
    </row>
    <row r="67" spans="1:23" ht="15.75" customHeight="1">
      <c r="A67" s="37"/>
      <c r="B67" s="37"/>
      <c r="C67" s="37"/>
      <c r="D67" s="37"/>
      <c r="E67" s="37"/>
      <c r="F67" s="37"/>
      <c r="G67" s="37"/>
      <c r="H67" s="37"/>
      <c r="I67" s="37"/>
      <c r="J67" s="37"/>
      <c r="K67" s="37"/>
      <c r="L67" s="37"/>
      <c r="M67" s="37"/>
      <c r="N67" s="37"/>
      <c r="O67" s="37"/>
      <c r="P67" s="37"/>
      <c r="Q67" s="37"/>
      <c r="R67" s="37"/>
      <c r="S67" s="37"/>
      <c r="T67" s="37"/>
      <c r="U67" s="37"/>
      <c r="V67" s="37"/>
      <c r="W67" s="37"/>
    </row>
    <row r="68" spans="1:23" ht="15.75" customHeight="1">
      <c r="A68" s="37"/>
      <c r="B68" s="37"/>
      <c r="C68" s="37"/>
      <c r="D68" s="37"/>
      <c r="E68" s="37"/>
      <c r="F68" s="37"/>
      <c r="G68" s="37"/>
      <c r="H68" s="37"/>
      <c r="I68" s="37"/>
      <c r="J68" s="37"/>
      <c r="K68" s="37"/>
      <c r="L68" s="37"/>
      <c r="M68" s="37"/>
      <c r="N68" s="37"/>
      <c r="O68" s="37"/>
      <c r="P68" s="37"/>
      <c r="Q68" s="37"/>
      <c r="R68" s="37"/>
      <c r="S68" s="37"/>
      <c r="T68" s="37"/>
      <c r="U68" s="37"/>
      <c r="V68" s="37"/>
      <c r="W68" s="37"/>
    </row>
    <row r="69" spans="1:23" ht="15.75" customHeight="1">
      <c r="A69" s="37"/>
      <c r="B69" s="37"/>
      <c r="C69" s="37"/>
      <c r="D69" s="37"/>
      <c r="E69" s="37"/>
      <c r="F69" s="37"/>
      <c r="G69" s="37"/>
      <c r="H69" s="37"/>
      <c r="I69" s="37"/>
      <c r="J69" s="37"/>
      <c r="K69" s="37"/>
      <c r="L69" s="37"/>
      <c r="M69" s="37"/>
      <c r="N69" s="37"/>
      <c r="O69" s="37"/>
      <c r="P69" s="37"/>
      <c r="Q69" s="37"/>
      <c r="R69" s="37"/>
      <c r="S69" s="37"/>
      <c r="T69" s="37"/>
      <c r="U69" s="37"/>
      <c r="V69" s="37"/>
      <c r="W69" s="37"/>
    </row>
    <row r="70" spans="1:23" ht="15.75" customHeight="1">
      <c r="A70" s="37"/>
      <c r="B70" s="37"/>
      <c r="C70" s="37"/>
      <c r="D70" s="37"/>
      <c r="E70" s="37"/>
      <c r="F70" s="37"/>
      <c r="G70" s="37"/>
      <c r="H70" s="37"/>
      <c r="I70" s="37"/>
      <c r="J70" s="37"/>
      <c r="K70" s="37"/>
      <c r="L70" s="37"/>
      <c r="M70" s="37"/>
      <c r="N70" s="37"/>
      <c r="O70" s="37"/>
      <c r="P70" s="37"/>
      <c r="Q70" s="37"/>
      <c r="R70" s="37"/>
      <c r="S70" s="37"/>
      <c r="T70" s="37"/>
      <c r="U70" s="37"/>
      <c r="V70" s="37"/>
      <c r="W70" s="37"/>
    </row>
    <row r="71" spans="1:23" ht="15.75" customHeight="1">
      <c r="A71" s="37"/>
      <c r="B71" s="37"/>
      <c r="C71" s="37"/>
      <c r="D71" s="37"/>
      <c r="E71" s="37"/>
      <c r="F71" s="37"/>
      <c r="G71" s="37"/>
      <c r="H71" s="37"/>
      <c r="I71" s="37"/>
      <c r="J71" s="37"/>
      <c r="K71" s="37"/>
      <c r="L71" s="37"/>
      <c r="M71" s="37"/>
      <c r="N71" s="37"/>
      <c r="O71" s="37"/>
      <c r="P71" s="37"/>
      <c r="Q71" s="37"/>
      <c r="R71" s="37"/>
      <c r="S71" s="37"/>
      <c r="T71" s="37"/>
      <c r="U71" s="37"/>
      <c r="V71" s="37"/>
      <c r="W71" s="37"/>
    </row>
    <row r="72" spans="1:23" ht="15.75" customHeight="1">
      <c r="A72" s="37"/>
      <c r="B72" s="37"/>
      <c r="C72" s="37"/>
      <c r="D72" s="37"/>
      <c r="E72" s="37"/>
      <c r="F72" s="37"/>
      <c r="G72" s="37"/>
      <c r="H72" s="37"/>
      <c r="I72" s="37"/>
      <c r="J72" s="37"/>
      <c r="K72" s="37"/>
      <c r="L72" s="37"/>
      <c r="M72" s="37"/>
      <c r="N72" s="37"/>
      <c r="O72" s="37"/>
      <c r="P72" s="37"/>
      <c r="Q72" s="37"/>
      <c r="R72" s="37"/>
      <c r="S72" s="37"/>
      <c r="T72" s="37"/>
      <c r="U72" s="37"/>
      <c r="V72" s="37"/>
      <c r="W72" s="37"/>
    </row>
    <row r="73" spans="1:23" ht="15.75" customHeight="1">
      <c r="A73" s="37"/>
      <c r="B73" s="37"/>
      <c r="C73" s="37"/>
      <c r="D73" s="37"/>
      <c r="E73" s="37"/>
      <c r="F73" s="37"/>
      <c r="G73" s="37"/>
      <c r="H73" s="37"/>
      <c r="I73" s="37"/>
      <c r="J73" s="37"/>
      <c r="K73" s="37"/>
      <c r="L73" s="37"/>
      <c r="M73" s="37"/>
      <c r="N73" s="37"/>
      <c r="O73" s="37"/>
      <c r="P73" s="37"/>
      <c r="Q73" s="37"/>
      <c r="R73" s="37"/>
      <c r="S73" s="37"/>
      <c r="T73" s="37"/>
      <c r="U73" s="37"/>
      <c r="V73" s="37"/>
      <c r="W73" s="37"/>
    </row>
    <row r="74" spans="1:23" ht="15.75" customHeight="1">
      <c r="A74" s="37"/>
      <c r="B74" s="37"/>
      <c r="C74" s="37"/>
      <c r="D74" s="37"/>
      <c r="E74" s="37"/>
      <c r="F74" s="37"/>
      <c r="G74" s="37"/>
      <c r="H74" s="37"/>
      <c r="I74" s="37"/>
      <c r="J74" s="37"/>
      <c r="K74" s="37"/>
      <c r="L74" s="37"/>
      <c r="M74" s="37"/>
      <c r="N74" s="37"/>
      <c r="O74" s="37"/>
      <c r="P74" s="37"/>
      <c r="Q74" s="37"/>
      <c r="R74" s="37"/>
      <c r="S74" s="37"/>
      <c r="T74" s="37"/>
      <c r="U74" s="37"/>
      <c r="V74" s="37"/>
      <c r="W74" s="37"/>
    </row>
    <row r="75" spans="1:23" ht="15.75" customHeight="1">
      <c r="A75" s="37"/>
      <c r="B75" s="37"/>
      <c r="C75" s="37"/>
      <c r="D75" s="37"/>
      <c r="E75" s="37"/>
      <c r="F75" s="37"/>
      <c r="G75" s="37"/>
      <c r="H75" s="37"/>
      <c r="I75" s="37"/>
      <c r="J75" s="37"/>
      <c r="K75" s="37"/>
      <c r="L75" s="37"/>
      <c r="M75" s="37"/>
      <c r="N75" s="37"/>
      <c r="O75" s="37"/>
      <c r="P75" s="37"/>
      <c r="Q75" s="37"/>
      <c r="R75" s="37"/>
      <c r="S75" s="37"/>
      <c r="T75" s="37"/>
      <c r="U75" s="37"/>
      <c r="V75" s="37"/>
      <c r="W75" s="37"/>
    </row>
    <row r="76" spans="1:23" ht="15.75" customHeight="1">
      <c r="A76" s="37"/>
      <c r="B76" s="37"/>
      <c r="C76" s="37"/>
      <c r="D76" s="37"/>
      <c r="E76" s="37"/>
      <c r="F76" s="37"/>
      <c r="G76" s="37"/>
      <c r="H76" s="37"/>
      <c r="I76" s="37"/>
      <c r="J76" s="37"/>
      <c r="K76" s="37"/>
      <c r="L76" s="37"/>
      <c r="M76" s="37"/>
      <c r="N76" s="37"/>
      <c r="O76" s="37"/>
      <c r="P76" s="37"/>
      <c r="Q76" s="37"/>
      <c r="R76" s="37"/>
      <c r="S76" s="37"/>
      <c r="T76" s="37"/>
      <c r="U76" s="37"/>
      <c r="V76" s="37"/>
      <c r="W76" s="37"/>
    </row>
    <row r="77" spans="1:23" ht="15.75" customHeight="1">
      <c r="A77" s="37"/>
      <c r="B77" s="37"/>
      <c r="C77" s="37"/>
      <c r="D77" s="37"/>
      <c r="E77" s="37"/>
      <c r="F77" s="37"/>
      <c r="G77" s="37"/>
      <c r="H77" s="37"/>
      <c r="I77" s="37"/>
      <c r="J77" s="37"/>
      <c r="K77" s="37"/>
      <c r="L77" s="37"/>
      <c r="M77" s="37"/>
      <c r="N77" s="37"/>
      <c r="O77" s="37"/>
      <c r="P77" s="37"/>
      <c r="Q77" s="37"/>
      <c r="R77" s="37"/>
      <c r="S77" s="37"/>
      <c r="T77" s="37"/>
      <c r="U77" s="37"/>
      <c r="V77" s="37"/>
      <c r="W77" s="37"/>
    </row>
    <row r="78" spans="1:23" ht="15.75" customHeight="1">
      <c r="A78" s="36"/>
      <c r="B78" s="37"/>
      <c r="C78" s="37"/>
      <c r="D78" s="37"/>
      <c r="E78" s="37"/>
      <c r="F78" s="37"/>
      <c r="G78" s="37"/>
      <c r="H78" s="37"/>
      <c r="I78" s="37"/>
      <c r="J78" s="37"/>
      <c r="K78" s="37"/>
      <c r="L78" s="37"/>
      <c r="M78" s="37"/>
      <c r="N78" s="37"/>
      <c r="O78" s="37"/>
      <c r="P78" s="37"/>
      <c r="Q78" s="37"/>
      <c r="R78" s="37"/>
      <c r="S78" s="37"/>
      <c r="T78" s="37"/>
      <c r="U78" s="37"/>
      <c r="V78" s="37"/>
      <c r="W78" s="37"/>
    </row>
    <row r="79" spans="1:23" ht="15.75" customHeight="1">
      <c r="A79" s="37"/>
      <c r="B79" s="37"/>
      <c r="C79" s="37"/>
      <c r="D79" s="37"/>
      <c r="E79" s="37"/>
      <c r="F79" s="37"/>
      <c r="G79" s="37"/>
      <c r="H79" s="37"/>
      <c r="I79" s="37"/>
      <c r="J79" s="37"/>
      <c r="K79" s="37"/>
      <c r="L79" s="37"/>
      <c r="M79" s="37"/>
      <c r="N79" s="37"/>
      <c r="O79" s="37"/>
      <c r="P79" s="37"/>
      <c r="Q79" s="37"/>
      <c r="R79" s="37"/>
      <c r="S79" s="37"/>
      <c r="T79" s="37"/>
      <c r="U79" s="37"/>
      <c r="V79" s="37"/>
      <c r="W79" s="37"/>
    </row>
    <row r="80" spans="1:23" ht="15.75" customHeight="1">
      <c r="A80" s="37"/>
      <c r="B80" s="37"/>
      <c r="C80" s="37"/>
      <c r="D80" s="37"/>
      <c r="E80" s="37"/>
      <c r="F80" s="37"/>
      <c r="G80" s="37"/>
      <c r="H80" s="37"/>
      <c r="I80" s="37"/>
      <c r="J80" s="37"/>
      <c r="K80" s="37"/>
      <c r="L80" s="37"/>
      <c r="M80" s="37"/>
      <c r="N80" s="37"/>
      <c r="O80" s="37"/>
      <c r="P80" s="37"/>
      <c r="Q80" s="37"/>
      <c r="R80" s="37"/>
      <c r="S80" s="37"/>
      <c r="T80" s="37"/>
      <c r="U80" s="37"/>
      <c r="V80" s="37"/>
      <c r="W80" s="37"/>
    </row>
    <row r="81" spans="1:23" ht="15.75" customHeight="1">
      <c r="A81" s="37"/>
      <c r="B81" s="37"/>
      <c r="C81" s="37"/>
      <c r="D81" s="37"/>
      <c r="E81" s="37"/>
      <c r="F81" s="37"/>
      <c r="G81" s="37"/>
      <c r="H81" s="37"/>
      <c r="I81" s="37"/>
      <c r="J81" s="37"/>
      <c r="K81" s="37"/>
      <c r="L81" s="37"/>
      <c r="M81" s="37"/>
      <c r="N81" s="37"/>
      <c r="O81" s="37"/>
      <c r="P81" s="37"/>
      <c r="Q81" s="37"/>
      <c r="R81" s="37"/>
      <c r="S81" s="37"/>
      <c r="T81" s="37"/>
      <c r="U81" s="37"/>
      <c r="V81" s="37"/>
      <c r="W81" s="37"/>
    </row>
    <row r="82" spans="1:23" ht="15.75" customHeight="1">
      <c r="A82" s="37"/>
      <c r="B82" s="37"/>
      <c r="C82" s="37"/>
      <c r="D82" s="37"/>
      <c r="E82" s="37"/>
      <c r="F82" s="37"/>
      <c r="G82" s="37"/>
      <c r="H82" s="37"/>
      <c r="I82" s="37"/>
      <c r="J82" s="37"/>
      <c r="K82" s="37"/>
      <c r="L82" s="37"/>
      <c r="M82" s="37"/>
      <c r="N82" s="37"/>
      <c r="O82" s="37"/>
      <c r="P82" s="37"/>
      <c r="Q82" s="37"/>
      <c r="R82" s="37"/>
      <c r="S82" s="37"/>
      <c r="T82" s="37"/>
      <c r="U82" s="37"/>
      <c r="V82" s="37"/>
      <c r="W82" s="37"/>
    </row>
    <row r="83" spans="1:23" ht="15.75" customHeight="1">
      <c r="A83" s="37"/>
      <c r="B83" s="37"/>
      <c r="C83" s="37"/>
      <c r="D83" s="37"/>
      <c r="E83" s="37"/>
      <c r="F83" s="37"/>
      <c r="G83" s="37"/>
      <c r="H83" s="37"/>
      <c r="I83" s="37"/>
      <c r="J83" s="37"/>
      <c r="K83" s="37"/>
      <c r="L83" s="37"/>
      <c r="M83" s="37"/>
      <c r="N83" s="37"/>
      <c r="O83" s="37"/>
      <c r="P83" s="37"/>
      <c r="Q83" s="37"/>
      <c r="R83" s="37"/>
      <c r="S83" s="37"/>
      <c r="T83" s="37"/>
      <c r="U83" s="37"/>
      <c r="V83" s="37"/>
      <c r="W83" s="37"/>
    </row>
    <row r="84" spans="1:23" ht="15.75" customHeight="1">
      <c r="A84" s="37"/>
      <c r="B84" s="37"/>
      <c r="C84" s="37"/>
      <c r="D84" s="37"/>
      <c r="E84" s="37"/>
      <c r="F84" s="37"/>
      <c r="G84" s="37"/>
      <c r="H84" s="37"/>
      <c r="I84" s="37"/>
      <c r="J84" s="37"/>
      <c r="K84" s="37"/>
      <c r="L84" s="37"/>
      <c r="M84" s="37"/>
      <c r="N84" s="37"/>
      <c r="O84" s="37"/>
      <c r="P84" s="37"/>
      <c r="Q84" s="37"/>
      <c r="R84" s="37"/>
      <c r="S84" s="37"/>
      <c r="T84" s="37"/>
      <c r="U84" s="37"/>
      <c r="V84" s="37"/>
      <c r="W84" s="37"/>
    </row>
    <row r="85" spans="1:23" ht="15.75" customHeight="1">
      <c r="A85" s="37"/>
      <c r="B85" s="37"/>
      <c r="C85" s="37"/>
      <c r="D85" s="37"/>
      <c r="E85" s="37"/>
      <c r="F85" s="37"/>
      <c r="G85" s="37"/>
      <c r="H85" s="37"/>
      <c r="I85" s="37"/>
      <c r="J85" s="37"/>
      <c r="K85" s="37"/>
      <c r="L85" s="37"/>
      <c r="M85" s="37"/>
      <c r="N85" s="37"/>
      <c r="O85" s="37"/>
      <c r="P85" s="37"/>
      <c r="Q85" s="37"/>
      <c r="R85" s="37"/>
      <c r="S85" s="37"/>
      <c r="T85" s="37"/>
      <c r="U85" s="37"/>
      <c r="V85" s="37"/>
      <c r="W85" s="37"/>
    </row>
    <row r="86" spans="1:23" ht="15.75" customHeight="1">
      <c r="A86" s="37"/>
      <c r="B86" s="37"/>
      <c r="C86" s="37"/>
      <c r="D86" s="37"/>
      <c r="E86" s="37"/>
      <c r="F86" s="37"/>
      <c r="G86" s="37"/>
      <c r="H86" s="37"/>
      <c r="I86" s="37"/>
      <c r="J86" s="37"/>
      <c r="K86" s="37"/>
      <c r="L86" s="37"/>
      <c r="M86" s="37"/>
      <c r="N86" s="37"/>
      <c r="O86" s="37"/>
      <c r="P86" s="37"/>
      <c r="Q86" s="37"/>
      <c r="R86" s="37"/>
      <c r="S86" s="37"/>
      <c r="T86" s="37"/>
      <c r="U86" s="37"/>
      <c r="V86" s="37"/>
      <c r="W86" s="37"/>
    </row>
    <row r="87" spans="1:23" ht="15.75" customHeight="1">
      <c r="A87" s="37"/>
      <c r="B87" s="37"/>
      <c r="C87" s="37"/>
      <c r="D87" s="37"/>
      <c r="E87" s="37"/>
      <c r="F87" s="37"/>
      <c r="G87" s="37"/>
      <c r="H87" s="37"/>
      <c r="I87" s="37"/>
      <c r="J87" s="37"/>
      <c r="K87" s="37"/>
      <c r="L87" s="37"/>
      <c r="M87" s="37"/>
      <c r="N87" s="37"/>
      <c r="O87" s="37"/>
      <c r="P87" s="37"/>
      <c r="Q87" s="37"/>
      <c r="R87" s="37"/>
      <c r="S87" s="37"/>
      <c r="T87" s="37"/>
      <c r="U87" s="37"/>
      <c r="V87" s="37"/>
      <c r="W87" s="37"/>
    </row>
    <row r="88" spans="1:23" ht="15.75" customHeight="1">
      <c r="A88" s="37"/>
      <c r="B88" s="37"/>
      <c r="C88" s="37"/>
      <c r="D88" s="37"/>
      <c r="E88" s="37"/>
      <c r="F88" s="37"/>
      <c r="G88" s="37"/>
      <c r="H88" s="37"/>
      <c r="I88" s="37"/>
      <c r="J88" s="37"/>
      <c r="K88" s="37"/>
      <c r="L88" s="37"/>
      <c r="M88" s="37"/>
      <c r="N88" s="37"/>
      <c r="O88" s="37"/>
      <c r="P88" s="37"/>
      <c r="Q88" s="37"/>
      <c r="R88" s="37"/>
      <c r="S88" s="37"/>
      <c r="T88" s="37"/>
      <c r="U88" s="37"/>
      <c r="V88" s="37"/>
      <c r="W88" s="37"/>
    </row>
    <row r="89" spans="1:23" ht="15.75" customHeight="1">
      <c r="A89" s="37"/>
      <c r="B89" s="37"/>
      <c r="C89" s="37"/>
      <c r="D89" s="37"/>
      <c r="E89" s="37"/>
      <c r="F89" s="37"/>
      <c r="G89" s="37"/>
      <c r="H89" s="37"/>
      <c r="I89" s="37"/>
      <c r="J89" s="37"/>
      <c r="K89" s="37"/>
      <c r="L89" s="37"/>
      <c r="M89" s="37"/>
      <c r="N89" s="37"/>
      <c r="O89" s="37"/>
      <c r="P89" s="37"/>
      <c r="Q89" s="37"/>
      <c r="R89" s="37"/>
      <c r="S89" s="37"/>
      <c r="T89" s="37"/>
      <c r="U89" s="37"/>
      <c r="V89" s="37"/>
      <c r="W89" s="37"/>
    </row>
    <row r="90" spans="1:23" ht="15.75" customHeight="1">
      <c r="A90" s="37"/>
      <c r="B90" s="37"/>
      <c r="C90" s="37"/>
      <c r="D90" s="37"/>
      <c r="E90" s="37"/>
      <c r="F90" s="37"/>
      <c r="G90" s="37"/>
      <c r="H90" s="37"/>
      <c r="I90" s="37"/>
      <c r="J90" s="37"/>
      <c r="K90" s="37"/>
      <c r="L90" s="37"/>
      <c r="M90" s="37"/>
      <c r="N90" s="37"/>
      <c r="O90" s="37"/>
      <c r="P90" s="37"/>
      <c r="Q90" s="37"/>
      <c r="R90" s="37"/>
      <c r="S90" s="37"/>
      <c r="T90" s="37"/>
      <c r="U90" s="37"/>
      <c r="V90" s="37"/>
      <c r="W90" s="37"/>
    </row>
    <row r="91" spans="1:23" ht="15.75" customHeight="1">
      <c r="A91" s="37"/>
      <c r="B91" s="37"/>
      <c r="C91" s="37"/>
      <c r="D91" s="37"/>
      <c r="E91" s="37"/>
      <c r="F91" s="37"/>
      <c r="G91" s="37"/>
      <c r="H91" s="37"/>
      <c r="I91" s="37"/>
      <c r="J91" s="37"/>
      <c r="K91" s="37"/>
      <c r="L91" s="37"/>
      <c r="M91" s="37"/>
      <c r="N91" s="37"/>
      <c r="O91" s="37"/>
      <c r="P91" s="37"/>
      <c r="Q91" s="37"/>
      <c r="R91" s="37"/>
      <c r="S91" s="37"/>
      <c r="T91" s="37"/>
      <c r="U91" s="37"/>
      <c r="V91" s="37"/>
      <c r="W91" s="37"/>
    </row>
    <row r="92" spans="1:23" ht="15.75" customHeight="1">
      <c r="A92" s="37"/>
      <c r="B92" s="37"/>
      <c r="C92" s="37"/>
      <c r="D92" s="37"/>
      <c r="E92" s="37"/>
      <c r="F92" s="37"/>
      <c r="G92" s="37"/>
      <c r="H92" s="37"/>
      <c r="I92" s="37"/>
      <c r="J92" s="37"/>
      <c r="K92" s="37"/>
      <c r="L92" s="37"/>
      <c r="M92" s="37"/>
      <c r="N92" s="37"/>
      <c r="O92" s="37"/>
      <c r="P92" s="37"/>
      <c r="Q92" s="37"/>
      <c r="R92" s="37"/>
      <c r="S92" s="37"/>
      <c r="T92" s="37"/>
      <c r="U92" s="37"/>
      <c r="V92" s="37"/>
      <c r="W92" s="37"/>
    </row>
    <row r="93" spans="1:23" ht="15.75" customHeight="1">
      <c r="A93" s="37"/>
      <c r="B93" s="37"/>
      <c r="C93" s="37"/>
      <c r="D93" s="37"/>
      <c r="E93" s="37"/>
      <c r="F93" s="37"/>
      <c r="G93" s="37"/>
      <c r="H93" s="37"/>
      <c r="I93" s="37"/>
      <c r="J93" s="37"/>
      <c r="K93" s="37"/>
      <c r="L93" s="37"/>
      <c r="M93" s="37"/>
      <c r="N93" s="37"/>
      <c r="O93" s="37"/>
      <c r="P93" s="37"/>
      <c r="Q93" s="37"/>
      <c r="R93" s="37"/>
      <c r="S93" s="37"/>
      <c r="T93" s="37"/>
      <c r="U93" s="37"/>
      <c r="V93" s="37"/>
      <c r="W93" s="37"/>
    </row>
    <row r="94" spans="1:23" ht="15.75" customHeight="1">
      <c r="A94" s="37"/>
      <c r="B94" s="37"/>
      <c r="C94" s="37"/>
      <c r="D94" s="37"/>
      <c r="E94" s="37"/>
      <c r="F94" s="37"/>
      <c r="G94" s="37"/>
      <c r="H94" s="37"/>
      <c r="I94" s="37"/>
      <c r="J94" s="37"/>
      <c r="K94" s="37"/>
      <c r="L94" s="37"/>
      <c r="M94" s="37"/>
      <c r="N94" s="37"/>
      <c r="O94" s="37"/>
      <c r="P94" s="37"/>
      <c r="Q94" s="37"/>
      <c r="R94" s="37"/>
      <c r="S94" s="37"/>
      <c r="T94" s="37"/>
      <c r="U94" s="37"/>
      <c r="V94" s="37"/>
      <c r="W94" s="37"/>
    </row>
    <row r="95" spans="1:23" ht="15.75" customHeight="1">
      <c r="A95" s="37"/>
      <c r="B95" s="37"/>
      <c r="C95" s="37"/>
      <c r="D95" s="37"/>
      <c r="E95" s="37"/>
      <c r="F95" s="37"/>
      <c r="G95" s="37"/>
      <c r="H95" s="37"/>
      <c r="I95" s="37"/>
      <c r="J95" s="37"/>
      <c r="K95" s="37"/>
      <c r="L95" s="37"/>
      <c r="M95" s="37"/>
      <c r="N95" s="37"/>
      <c r="O95" s="37"/>
      <c r="P95" s="37"/>
      <c r="Q95" s="37"/>
      <c r="R95" s="37"/>
      <c r="S95" s="37"/>
      <c r="T95" s="37"/>
      <c r="U95" s="37"/>
      <c r="V95" s="37"/>
      <c r="W95" s="37"/>
    </row>
    <row r="96" spans="1:23" ht="15.75" customHeight="1">
      <c r="A96" s="37"/>
      <c r="B96" s="37"/>
      <c r="C96" s="37"/>
      <c r="D96" s="37"/>
      <c r="E96" s="37"/>
      <c r="F96" s="37"/>
      <c r="G96" s="37"/>
      <c r="H96" s="37"/>
      <c r="I96" s="37"/>
      <c r="J96" s="37"/>
      <c r="K96" s="37"/>
      <c r="L96" s="37"/>
      <c r="M96" s="37"/>
      <c r="N96" s="37"/>
      <c r="O96" s="37"/>
      <c r="P96" s="37"/>
      <c r="Q96" s="37"/>
      <c r="R96" s="37"/>
      <c r="S96" s="37"/>
      <c r="T96" s="37"/>
      <c r="U96" s="37"/>
      <c r="V96" s="37"/>
      <c r="W96" s="37"/>
    </row>
    <row r="97" spans="1:23" ht="15.75" customHeight="1">
      <c r="A97" s="37"/>
      <c r="B97" s="37"/>
      <c r="C97" s="37"/>
      <c r="D97" s="37"/>
      <c r="E97" s="37"/>
      <c r="F97" s="37"/>
      <c r="G97" s="37"/>
      <c r="H97" s="37"/>
      <c r="I97" s="37"/>
      <c r="J97" s="37"/>
      <c r="K97" s="37"/>
      <c r="L97" s="37"/>
      <c r="M97" s="37"/>
      <c r="N97" s="37"/>
      <c r="O97" s="37"/>
      <c r="P97" s="37"/>
      <c r="Q97" s="37"/>
      <c r="R97" s="37"/>
      <c r="S97" s="37"/>
      <c r="T97" s="37"/>
      <c r="U97" s="37"/>
      <c r="V97" s="37"/>
      <c r="W97" s="37"/>
    </row>
    <row r="98" spans="1:23" ht="15.75" customHeight="1">
      <c r="A98" s="37"/>
      <c r="B98" s="37"/>
      <c r="C98" s="37"/>
      <c r="D98" s="37"/>
      <c r="E98" s="37"/>
      <c r="F98" s="37"/>
      <c r="G98" s="37"/>
      <c r="H98" s="37"/>
      <c r="I98" s="37"/>
      <c r="J98" s="37"/>
      <c r="K98" s="37"/>
      <c r="L98" s="37"/>
      <c r="M98" s="37"/>
      <c r="N98" s="37"/>
      <c r="O98" s="37"/>
      <c r="P98" s="37"/>
      <c r="Q98" s="37"/>
      <c r="R98" s="37"/>
      <c r="S98" s="37"/>
      <c r="T98" s="37"/>
      <c r="U98" s="37"/>
      <c r="V98" s="37"/>
      <c r="W98" s="37"/>
    </row>
    <row r="99" spans="1:23" ht="15.75" customHeight="1">
      <c r="A99" s="37"/>
      <c r="B99" s="37"/>
      <c r="C99" s="37"/>
      <c r="D99" s="37"/>
      <c r="E99" s="37"/>
      <c r="F99" s="37"/>
      <c r="G99" s="37"/>
      <c r="H99" s="37"/>
      <c r="I99" s="37"/>
      <c r="J99" s="37"/>
      <c r="K99" s="37"/>
      <c r="L99" s="37"/>
      <c r="M99" s="37"/>
      <c r="N99" s="37"/>
      <c r="O99" s="37"/>
      <c r="P99" s="37"/>
      <c r="Q99" s="37"/>
      <c r="R99" s="37"/>
      <c r="S99" s="37"/>
      <c r="T99" s="37"/>
      <c r="U99" s="37"/>
      <c r="V99" s="37"/>
      <c r="W99" s="37"/>
    </row>
    <row r="100" spans="1:23" ht="15.75" customHeight="1">
      <c r="A100" s="37"/>
      <c r="B100" s="37"/>
      <c r="C100" s="37"/>
      <c r="D100" s="37"/>
      <c r="E100" s="37"/>
      <c r="F100" s="37"/>
      <c r="G100" s="37"/>
      <c r="H100" s="37"/>
      <c r="I100" s="37"/>
      <c r="J100" s="37"/>
      <c r="K100" s="37"/>
      <c r="L100" s="37"/>
      <c r="M100" s="37"/>
      <c r="N100" s="37"/>
      <c r="O100" s="37"/>
      <c r="P100" s="37"/>
      <c r="Q100" s="37"/>
      <c r="R100" s="37"/>
      <c r="S100" s="37"/>
      <c r="T100" s="37"/>
      <c r="U100" s="37"/>
      <c r="V100" s="37"/>
      <c r="W100" s="37"/>
    </row>
    <row r="101" spans="1:23" ht="15.75" customHeight="1">
      <c r="A101" s="37"/>
      <c r="B101" s="37"/>
      <c r="C101" s="37"/>
      <c r="D101" s="37"/>
      <c r="E101" s="37"/>
      <c r="F101" s="37"/>
      <c r="G101" s="37"/>
      <c r="H101" s="37"/>
      <c r="I101" s="37"/>
      <c r="J101" s="37"/>
      <c r="K101" s="37"/>
      <c r="L101" s="37"/>
      <c r="M101" s="37"/>
      <c r="N101" s="37"/>
      <c r="O101" s="37"/>
      <c r="P101" s="37"/>
      <c r="Q101" s="37"/>
      <c r="R101" s="37"/>
      <c r="S101" s="37"/>
      <c r="T101" s="37"/>
      <c r="U101" s="37"/>
      <c r="V101" s="37"/>
      <c r="W101" s="37"/>
    </row>
    <row r="102" spans="1:23" ht="15.75" customHeight="1">
      <c r="A102" s="37"/>
      <c r="B102" s="37"/>
      <c r="C102" s="37"/>
      <c r="D102" s="37"/>
      <c r="E102" s="37"/>
      <c r="F102" s="37"/>
      <c r="G102" s="37"/>
      <c r="H102" s="37"/>
      <c r="I102" s="37"/>
      <c r="J102" s="37"/>
      <c r="K102" s="37"/>
      <c r="L102" s="37"/>
      <c r="M102" s="37"/>
      <c r="N102" s="37"/>
      <c r="O102" s="37"/>
      <c r="P102" s="37"/>
      <c r="Q102" s="37"/>
      <c r="R102" s="37"/>
      <c r="S102" s="37"/>
      <c r="T102" s="37"/>
      <c r="U102" s="37"/>
      <c r="V102" s="37"/>
      <c r="W102" s="37"/>
    </row>
    <row r="103" spans="1:23" ht="15.75" customHeight="1">
      <c r="A103" s="37"/>
      <c r="B103" s="37"/>
      <c r="C103" s="37"/>
      <c r="D103" s="37"/>
      <c r="E103" s="37"/>
      <c r="F103" s="37"/>
      <c r="G103" s="37"/>
      <c r="H103" s="37"/>
      <c r="I103" s="37"/>
      <c r="J103" s="37"/>
      <c r="K103" s="37"/>
      <c r="L103" s="37"/>
      <c r="M103" s="37"/>
      <c r="N103" s="37"/>
      <c r="O103" s="37"/>
      <c r="P103" s="37"/>
      <c r="Q103" s="37"/>
      <c r="R103" s="37"/>
      <c r="S103" s="37"/>
      <c r="T103" s="37"/>
      <c r="U103" s="37"/>
      <c r="V103" s="37"/>
      <c r="W103" s="37"/>
    </row>
    <row r="104" spans="1:23" ht="15.75" customHeight="1">
      <c r="A104" s="37"/>
      <c r="B104" s="37"/>
      <c r="C104" s="37"/>
      <c r="D104" s="37"/>
      <c r="E104" s="37"/>
      <c r="F104" s="37"/>
      <c r="G104" s="37"/>
      <c r="H104" s="37"/>
      <c r="I104" s="37"/>
      <c r="J104" s="37"/>
      <c r="K104" s="37"/>
      <c r="L104" s="37"/>
      <c r="M104" s="37"/>
      <c r="N104" s="37"/>
      <c r="O104" s="37"/>
      <c r="P104" s="37"/>
      <c r="Q104" s="37"/>
      <c r="R104" s="37"/>
      <c r="S104" s="37"/>
      <c r="T104" s="37"/>
      <c r="U104" s="37"/>
      <c r="V104" s="37"/>
      <c r="W104" s="37"/>
    </row>
    <row r="105" spans="1:23" ht="15.75" customHeight="1">
      <c r="A105" s="37"/>
      <c r="B105" s="37"/>
      <c r="C105" s="37"/>
      <c r="D105" s="37"/>
      <c r="E105" s="37"/>
      <c r="F105" s="37"/>
      <c r="G105" s="37"/>
      <c r="H105" s="37"/>
      <c r="I105" s="37"/>
      <c r="J105" s="37"/>
      <c r="K105" s="37"/>
      <c r="L105" s="37"/>
      <c r="M105" s="37"/>
      <c r="N105" s="37"/>
      <c r="O105" s="37"/>
      <c r="P105" s="37"/>
      <c r="Q105" s="37"/>
      <c r="R105" s="37"/>
      <c r="S105" s="37"/>
      <c r="T105" s="37"/>
      <c r="U105" s="37"/>
      <c r="V105" s="37"/>
      <c r="W105" s="37"/>
    </row>
    <row r="106" spans="1:23" ht="15.75" customHeight="1">
      <c r="A106" s="37"/>
      <c r="B106" s="37"/>
      <c r="C106" s="37"/>
      <c r="D106" s="37"/>
      <c r="E106" s="37"/>
      <c r="F106" s="37"/>
      <c r="G106" s="37"/>
      <c r="H106" s="37"/>
      <c r="I106" s="37"/>
      <c r="J106" s="37"/>
      <c r="K106" s="37"/>
      <c r="L106" s="37"/>
      <c r="M106" s="37"/>
      <c r="N106" s="37"/>
      <c r="O106" s="37"/>
      <c r="P106" s="37"/>
      <c r="Q106" s="37"/>
      <c r="R106" s="37"/>
      <c r="S106" s="37"/>
      <c r="T106" s="37"/>
      <c r="U106" s="37"/>
      <c r="V106" s="37"/>
      <c r="W106" s="37"/>
    </row>
    <row r="107" spans="1:23" ht="15.75" customHeight="1">
      <c r="A107" s="37"/>
      <c r="B107" s="37"/>
      <c r="C107" s="37"/>
      <c r="D107" s="37"/>
      <c r="E107" s="37"/>
      <c r="F107" s="37"/>
      <c r="G107" s="37"/>
      <c r="H107" s="37"/>
      <c r="I107" s="37"/>
      <c r="J107" s="37"/>
      <c r="K107" s="37"/>
      <c r="L107" s="37"/>
      <c r="M107" s="37"/>
      <c r="N107" s="37"/>
      <c r="O107" s="37"/>
      <c r="P107" s="37"/>
      <c r="Q107" s="37"/>
      <c r="R107" s="37"/>
      <c r="S107" s="37"/>
      <c r="T107" s="37"/>
      <c r="U107" s="37"/>
      <c r="V107" s="37"/>
      <c r="W107" s="37"/>
    </row>
    <row r="108" spans="1:23" ht="15.75" customHeight="1">
      <c r="A108" s="37"/>
      <c r="B108" s="37"/>
      <c r="C108" s="37"/>
      <c r="D108" s="37"/>
      <c r="E108" s="37"/>
      <c r="F108" s="37"/>
      <c r="G108" s="37"/>
      <c r="H108" s="37"/>
      <c r="I108" s="37"/>
      <c r="J108" s="37"/>
      <c r="K108" s="37"/>
      <c r="L108" s="37"/>
      <c r="M108" s="37"/>
      <c r="N108" s="37"/>
      <c r="O108" s="37"/>
      <c r="P108" s="37"/>
      <c r="Q108" s="37"/>
      <c r="R108" s="37"/>
      <c r="S108" s="37"/>
      <c r="T108" s="37"/>
      <c r="U108" s="37"/>
      <c r="V108" s="37"/>
      <c r="W108" s="37"/>
    </row>
    <row r="109" spans="1:23" ht="15.75" customHeight="1">
      <c r="A109" s="37"/>
      <c r="B109" s="37"/>
      <c r="C109" s="37"/>
      <c r="D109" s="37"/>
      <c r="E109" s="37"/>
      <c r="F109" s="37"/>
      <c r="G109" s="37"/>
      <c r="H109" s="37"/>
      <c r="I109" s="37"/>
      <c r="J109" s="37"/>
      <c r="K109" s="37"/>
      <c r="L109" s="37"/>
      <c r="M109" s="37"/>
      <c r="N109" s="37"/>
      <c r="O109" s="37"/>
      <c r="P109" s="37"/>
      <c r="Q109" s="37"/>
      <c r="R109" s="37"/>
      <c r="S109" s="37"/>
      <c r="T109" s="37"/>
      <c r="U109" s="37"/>
      <c r="V109" s="37"/>
      <c r="W109" s="37"/>
    </row>
    <row r="110" spans="1:23" ht="15.75" customHeight="1">
      <c r="A110" s="37"/>
      <c r="B110" s="37"/>
      <c r="C110" s="37"/>
      <c r="D110" s="37"/>
      <c r="E110" s="37"/>
      <c r="F110" s="37"/>
      <c r="G110" s="37"/>
      <c r="H110" s="37"/>
      <c r="I110" s="37"/>
      <c r="J110" s="37"/>
      <c r="K110" s="37"/>
      <c r="L110" s="37"/>
      <c r="M110" s="37"/>
      <c r="N110" s="37"/>
      <c r="O110" s="37"/>
      <c r="P110" s="37"/>
      <c r="Q110" s="37"/>
      <c r="R110" s="37"/>
      <c r="S110" s="37"/>
      <c r="T110" s="37"/>
      <c r="U110" s="37"/>
      <c r="V110" s="37"/>
      <c r="W110" s="37"/>
    </row>
    <row r="111" spans="1:23" ht="15.75" customHeight="1">
      <c r="A111" s="37"/>
      <c r="B111" s="37"/>
      <c r="C111" s="37"/>
      <c r="D111" s="37"/>
      <c r="E111" s="37"/>
      <c r="F111" s="37"/>
      <c r="G111" s="37"/>
      <c r="H111" s="37"/>
      <c r="I111" s="37"/>
      <c r="J111" s="37"/>
      <c r="K111" s="37"/>
      <c r="L111" s="37"/>
      <c r="M111" s="37"/>
      <c r="N111" s="37"/>
      <c r="O111" s="37"/>
      <c r="P111" s="37"/>
      <c r="Q111" s="37"/>
      <c r="R111" s="37"/>
      <c r="S111" s="37"/>
      <c r="T111" s="37"/>
      <c r="U111" s="37"/>
      <c r="V111" s="37"/>
      <c r="W111" s="37"/>
    </row>
    <row r="112" spans="1:23" ht="15.75" customHeight="1">
      <c r="A112" s="37"/>
      <c r="B112" s="37"/>
      <c r="C112" s="37"/>
      <c r="D112" s="37"/>
      <c r="E112" s="37"/>
      <c r="F112" s="37"/>
      <c r="G112" s="37"/>
      <c r="H112" s="37"/>
      <c r="I112" s="37"/>
      <c r="J112" s="37"/>
      <c r="K112" s="37"/>
      <c r="L112" s="37"/>
      <c r="M112" s="37"/>
      <c r="N112" s="37"/>
      <c r="O112" s="37"/>
      <c r="P112" s="37"/>
      <c r="Q112" s="37"/>
      <c r="R112" s="37"/>
      <c r="S112" s="37"/>
      <c r="T112" s="37"/>
      <c r="U112" s="37"/>
      <c r="V112" s="37"/>
      <c r="W112" s="37"/>
    </row>
    <row r="113" spans="1:23" ht="15.75" customHeight="1">
      <c r="A113" s="37"/>
      <c r="B113" s="37"/>
      <c r="C113" s="37"/>
      <c r="D113" s="37"/>
      <c r="E113" s="37"/>
      <c r="F113" s="37"/>
      <c r="G113" s="37"/>
      <c r="H113" s="37"/>
      <c r="I113" s="37"/>
      <c r="J113" s="37"/>
      <c r="K113" s="37"/>
      <c r="L113" s="37"/>
      <c r="M113" s="37"/>
      <c r="N113" s="37"/>
      <c r="O113" s="37"/>
      <c r="P113" s="37"/>
      <c r="Q113" s="37"/>
      <c r="R113" s="37"/>
      <c r="S113" s="37"/>
      <c r="T113" s="37"/>
      <c r="U113" s="37"/>
      <c r="V113" s="37"/>
      <c r="W113" s="37"/>
    </row>
    <row r="114" spans="1:23" ht="15.75" customHeight="1">
      <c r="A114" s="37"/>
      <c r="B114" s="37"/>
      <c r="C114" s="37"/>
      <c r="D114" s="37"/>
      <c r="E114" s="37"/>
      <c r="F114" s="37"/>
      <c r="G114" s="37"/>
      <c r="H114" s="37"/>
      <c r="I114" s="37"/>
      <c r="J114" s="37"/>
      <c r="K114" s="37"/>
      <c r="L114" s="37"/>
      <c r="M114" s="37"/>
      <c r="N114" s="37"/>
      <c r="O114" s="37"/>
      <c r="P114" s="37"/>
      <c r="Q114" s="37"/>
      <c r="R114" s="37"/>
      <c r="S114" s="37"/>
      <c r="T114" s="37"/>
      <c r="U114" s="37"/>
      <c r="V114" s="37"/>
      <c r="W114" s="37"/>
    </row>
    <row r="115" spans="1:23" ht="15.75" customHeight="1">
      <c r="A115" s="37"/>
      <c r="B115" s="37"/>
      <c r="C115" s="37"/>
      <c r="D115" s="37"/>
      <c r="E115" s="37"/>
      <c r="F115" s="37"/>
      <c r="G115" s="37"/>
      <c r="H115" s="37"/>
      <c r="I115" s="37"/>
      <c r="J115" s="37"/>
      <c r="K115" s="37"/>
      <c r="L115" s="37"/>
      <c r="M115" s="37"/>
      <c r="N115" s="37"/>
      <c r="O115" s="37"/>
      <c r="P115" s="37"/>
      <c r="Q115" s="37"/>
      <c r="R115" s="37"/>
      <c r="S115" s="37"/>
      <c r="T115" s="37"/>
      <c r="U115" s="37"/>
      <c r="V115" s="37"/>
      <c r="W115" s="37"/>
    </row>
    <row r="116" spans="1:23" ht="15.75" customHeight="1">
      <c r="A116" s="37"/>
      <c r="B116" s="37"/>
      <c r="C116" s="37"/>
      <c r="D116" s="37"/>
      <c r="E116" s="37"/>
      <c r="F116" s="37"/>
      <c r="G116" s="37"/>
      <c r="H116" s="37"/>
      <c r="I116" s="37"/>
      <c r="J116" s="37"/>
      <c r="K116" s="37"/>
      <c r="L116" s="37"/>
      <c r="M116" s="37"/>
      <c r="N116" s="37"/>
      <c r="O116" s="37"/>
      <c r="P116" s="37"/>
      <c r="Q116" s="37"/>
      <c r="R116" s="37"/>
      <c r="S116" s="37"/>
      <c r="T116" s="37"/>
      <c r="U116" s="37"/>
      <c r="V116" s="37"/>
      <c r="W116" s="37"/>
    </row>
    <row r="117" spans="1:23" ht="15.75" customHeight="1">
      <c r="A117" s="37"/>
      <c r="B117" s="37"/>
      <c r="C117" s="37"/>
      <c r="D117" s="37"/>
      <c r="E117" s="37"/>
      <c r="F117" s="37"/>
      <c r="G117" s="37"/>
      <c r="H117" s="37"/>
      <c r="I117" s="37"/>
      <c r="J117" s="37"/>
      <c r="K117" s="37"/>
      <c r="L117" s="37"/>
      <c r="M117" s="37"/>
      <c r="N117" s="37"/>
      <c r="O117" s="37"/>
      <c r="P117" s="37"/>
      <c r="Q117" s="37"/>
      <c r="R117" s="37"/>
      <c r="S117" s="37"/>
      <c r="T117" s="37"/>
      <c r="U117" s="37"/>
      <c r="V117" s="37"/>
      <c r="W117" s="37"/>
    </row>
    <row r="118" spans="1:23" ht="15.75" customHeight="1">
      <c r="A118" s="37"/>
      <c r="B118" s="37"/>
      <c r="C118" s="37"/>
      <c r="D118" s="37"/>
      <c r="E118" s="37"/>
      <c r="F118" s="37"/>
      <c r="G118" s="37"/>
      <c r="H118" s="37"/>
      <c r="I118" s="37"/>
      <c r="J118" s="37"/>
      <c r="K118" s="37"/>
      <c r="L118" s="37"/>
      <c r="M118" s="37"/>
      <c r="N118" s="37"/>
      <c r="O118" s="37"/>
      <c r="P118" s="37"/>
      <c r="Q118" s="37"/>
      <c r="R118" s="37"/>
      <c r="S118" s="37"/>
      <c r="T118" s="37"/>
      <c r="U118" s="37"/>
      <c r="V118" s="37"/>
      <c r="W118" s="37"/>
    </row>
    <row r="119" spans="1:23" ht="15.75" customHeight="1">
      <c r="A119" s="37"/>
      <c r="B119" s="37"/>
      <c r="C119" s="37"/>
      <c r="D119" s="37"/>
      <c r="E119" s="37"/>
      <c r="F119" s="37"/>
      <c r="G119" s="37"/>
      <c r="H119" s="37"/>
      <c r="I119" s="37"/>
      <c r="J119" s="37"/>
      <c r="K119" s="37"/>
      <c r="L119" s="37"/>
      <c r="M119" s="37"/>
      <c r="N119" s="37"/>
      <c r="O119" s="37"/>
      <c r="P119" s="37"/>
      <c r="Q119" s="37"/>
      <c r="R119" s="37"/>
      <c r="S119" s="37"/>
      <c r="T119" s="37"/>
      <c r="U119" s="37"/>
      <c r="V119" s="37"/>
      <c r="W119" s="37"/>
    </row>
    <row r="120" spans="1:23" ht="15.75" customHeight="1">
      <c r="A120" s="37"/>
      <c r="B120" s="37"/>
      <c r="C120" s="37"/>
      <c r="D120" s="37"/>
      <c r="E120" s="37"/>
      <c r="F120" s="37"/>
      <c r="G120" s="37"/>
      <c r="H120" s="37"/>
      <c r="I120" s="37"/>
      <c r="J120" s="37"/>
      <c r="K120" s="37"/>
      <c r="L120" s="37"/>
      <c r="M120" s="37"/>
      <c r="N120" s="37"/>
      <c r="O120" s="37"/>
      <c r="P120" s="37"/>
      <c r="Q120" s="37"/>
      <c r="R120" s="37"/>
      <c r="S120" s="37"/>
      <c r="T120" s="37"/>
      <c r="U120" s="37"/>
      <c r="V120" s="37"/>
      <c r="W120" s="37"/>
    </row>
    <row r="121" spans="1:23" ht="15.75" customHeight="1">
      <c r="A121" s="37"/>
      <c r="B121" s="37"/>
      <c r="C121" s="37"/>
      <c r="D121" s="37"/>
      <c r="E121" s="37"/>
      <c r="F121" s="37"/>
      <c r="G121" s="37"/>
      <c r="H121" s="37"/>
      <c r="I121" s="37"/>
      <c r="J121" s="37"/>
      <c r="K121" s="37"/>
      <c r="L121" s="37"/>
      <c r="M121" s="37"/>
      <c r="N121" s="37"/>
      <c r="O121" s="37"/>
      <c r="P121" s="37"/>
      <c r="Q121" s="37"/>
      <c r="R121" s="37"/>
      <c r="S121" s="37"/>
      <c r="T121" s="37"/>
      <c r="U121" s="37"/>
      <c r="V121" s="37"/>
      <c r="W121" s="37"/>
    </row>
    <row r="122" spans="1:23" ht="15.75" customHeight="1">
      <c r="A122" s="37"/>
      <c r="B122" s="37"/>
      <c r="C122" s="37"/>
      <c r="D122" s="37"/>
      <c r="E122" s="37"/>
      <c r="F122" s="37"/>
      <c r="G122" s="37"/>
      <c r="H122" s="37"/>
      <c r="I122" s="37"/>
      <c r="J122" s="37"/>
      <c r="K122" s="37"/>
      <c r="L122" s="37"/>
      <c r="M122" s="37"/>
      <c r="N122" s="37"/>
      <c r="O122" s="37"/>
      <c r="P122" s="37"/>
      <c r="Q122" s="37"/>
      <c r="R122" s="37"/>
      <c r="S122" s="37"/>
      <c r="T122" s="37"/>
      <c r="U122" s="37"/>
      <c r="V122" s="37"/>
      <c r="W122" s="37"/>
    </row>
    <row r="123" spans="1:23" ht="15.75" customHeight="1">
      <c r="A123" s="37"/>
      <c r="B123" s="37"/>
      <c r="C123" s="37"/>
      <c r="D123" s="37"/>
      <c r="E123" s="37"/>
      <c r="F123" s="37"/>
      <c r="G123" s="37"/>
      <c r="H123" s="37"/>
      <c r="I123" s="37"/>
      <c r="J123" s="37"/>
      <c r="K123" s="37"/>
      <c r="L123" s="37"/>
      <c r="M123" s="37"/>
      <c r="N123" s="37"/>
      <c r="O123" s="37"/>
      <c r="P123" s="37"/>
      <c r="Q123" s="37"/>
      <c r="R123" s="37"/>
      <c r="S123" s="37"/>
      <c r="T123" s="37"/>
      <c r="U123" s="37"/>
      <c r="V123" s="37"/>
      <c r="W123" s="37"/>
    </row>
    <row r="124" spans="1:23" ht="15.75" customHeight="1">
      <c r="A124" s="37"/>
      <c r="B124" s="37"/>
      <c r="C124" s="37"/>
      <c r="D124" s="37"/>
      <c r="E124" s="37"/>
      <c r="F124" s="37"/>
      <c r="G124" s="37"/>
      <c r="H124" s="37"/>
      <c r="I124" s="37"/>
      <c r="J124" s="37"/>
      <c r="K124" s="37"/>
      <c r="L124" s="37"/>
      <c r="M124" s="37"/>
      <c r="N124" s="37"/>
      <c r="O124" s="37"/>
      <c r="P124" s="37"/>
      <c r="Q124" s="37"/>
      <c r="R124" s="37"/>
      <c r="S124" s="37"/>
      <c r="T124" s="37"/>
      <c r="U124" s="37"/>
      <c r="V124" s="37"/>
      <c r="W124" s="37"/>
    </row>
    <row r="125" spans="1:23" ht="15.75" customHeight="1">
      <c r="A125" s="37"/>
      <c r="B125" s="37"/>
      <c r="C125" s="37"/>
      <c r="D125" s="37"/>
      <c r="E125" s="37"/>
      <c r="F125" s="37"/>
      <c r="G125" s="37"/>
      <c r="H125" s="37"/>
      <c r="I125" s="37"/>
      <c r="J125" s="37"/>
      <c r="K125" s="37"/>
      <c r="L125" s="37"/>
      <c r="M125" s="37"/>
      <c r="N125" s="37"/>
      <c r="O125" s="37"/>
      <c r="P125" s="37"/>
      <c r="Q125" s="37"/>
      <c r="R125" s="37"/>
      <c r="S125" s="37"/>
      <c r="T125" s="37"/>
      <c r="U125" s="37"/>
      <c r="V125" s="37"/>
      <c r="W125" s="37"/>
    </row>
    <row r="126" spans="1:23" ht="15.75" customHeight="1">
      <c r="A126" s="37"/>
      <c r="B126" s="37"/>
      <c r="C126" s="37"/>
      <c r="D126" s="37"/>
      <c r="E126" s="37"/>
      <c r="F126" s="37"/>
      <c r="G126" s="37"/>
      <c r="H126" s="37"/>
      <c r="I126" s="37"/>
      <c r="J126" s="37"/>
      <c r="K126" s="37"/>
      <c r="L126" s="37"/>
      <c r="M126" s="37"/>
      <c r="N126" s="37"/>
      <c r="O126" s="37"/>
      <c r="P126" s="37"/>
      <c r="Q126" s="37"/>
      <c r="R126" s="37"/>
      <c r="S126" s="37"/>
      <c r="T126" s="37"/>
      <c r="U126" s="37"/>
      <c r="V126" s="37"/>
      <c r="W126" s="37"/>
    </row>
    <row r="127" spans="1:23" ht="15.75" customHeight="1">
      <c r="A127" s="37"/>
      <c r="B127" s="37"/>
      <c r="C127" s="37"/>
      <c r="D127" s="37"/>
      <c r="E127" s="37"/>
      <c r="F127" s="37"/>
      <c r="G127" s="37"/>
      <c r="H127" s="37"/>
      <c r="I127" s="37"/>
      <c r="J127" s="37"/>
      <c r="K127" s="37"/>
      <c r="L127" s="37"/>
      <c r="M127" s="37"/>
      <c r="N127" s="37"/>
      <c r="O127" s="37"/>
      <c r="P127" s="37"/>
      <c r="Q127" s="37"/>
      <c r="R127" s="37"/>
      <c r="S127" s="37"/>
      <c r="T127" s="37"/>
      <c r="U127" s="37"/>
      <c r="V127" s="37"/>
      <c r="W127" s="37"/>
    </row>
    <row r="128" spans="1:23" ht="15.75" customHeight="1">
      <c r="A128" s="37"/>
      <c r="B128" s="37"/>
      <c r="C128" s="37"/>
      <c r="D128" s="37"/>
      <c r="E128" s="37"/>
      <c r="F128" s="37"/>
      <c r="G128" s="37"/>
      <c r="H128" s="37"/>
      <c r="I128" s="37"/>
      <c r="J128" s="37"/>
      <c r="K128" s="37"/>
      <c r="L128" s="37"/>
      <c r="M128" s="37"/>
      <c r="N128" s="37"/>
      <c r="O128" s="37"/>
      <c r="P128" s="37"/>
      <c r="Q128" s="37"/>
      <c r="R128" s="37"/>
      <c r="S128" s="37"/>
      <c r="T128" s="37"/>
      <c r="U128" s="37"/>
      <c r="V128" s="37"/>
      <c r="W128" s="37"/>
    </row>
    <row r="129" spans="1:23" ht="15.75" customHeight="1">
      <c r="A129" s="37"/>
      <c r="B129" s="37"/>
      <c r="C129" s="37"/>
      <c r="D129" s="37"/>
      <c r="E129" s="37"/>
      <c r="F129" s="37"/>
      <c r="G129" s="37"/>
      <c r="H129" s="37"/>
      <c r="I129" s="37"/>
      <c r="J129" s="37"/>
      <c r="K129" s="37"/>
      <c r="L129" s="37"/>
      <c r="M129" s="37"/>
      <c r="N129" s="37"/>
      <c r="O129" s="37"/>
      <c r="P129" s="37"/>
      <c r="Q129" s="37"/>
      <c r="R129" s="37"/>
      <c r="S129" s="37"/>
      <c r="T129" s="37"/>
      <c r="U129" s="37"/>
      <c r="V129" s="37"/>
      <c r="W129" s="37"/>
    </row>
    <row r="130" spans="1:23" ht="15.75" customHeight="1">
      <c r="A130" s="37"/>
      <c r="B130" s="37"/>
      <c r="C130" s="37"/>
      <c r="D130" s="37"/>
      <c r="E130" s="37"/>
      <c r="F130" s="37"/>
      <c r="G130" s="37"/>
      <c r="H130" s="37"/>
      <c r="I130" s="37"/>
      <c r="J130" s="37"/>
      <c r="K130" s="37"/>
      <c r="L130" s="37"/>
      <c r="M130" s="37"/>
      <c r="N130" s="37"/>
      <c r="O130" s="37"/>
      <c r="P130" s="37"/>
      <c r="Q130" s="37"/>
      <c r="R130" s="37"/>
      <c r="S130" s="37"/>
      <c r="T130" s="37"/>
      <c r="U130" s="37"/>
      <c r="V130" s="37"/>
      <c r="W130" s="37"/>
    </row>
    <row r="131" spans="1:23" ht="15.75" customHeight="1">
      <c r="A131" s="37"/>
      <c r="B131" s="37"/>
      <c r="C131" s="37"/>
      <c r="D131" s="37"/>
      <c r="E131" s="37"/>
      <c r="F131" s="37"/>
      <c r="G131" s="37"/>
      <c r="H131" s="37"/>
      <c r="I131" s="37"/>
      <c r="J131" s="37"/>
      <c r="K131" s="37"/>
      <c r="L131" s="37"/>
      <c r="M131" s="37"/>
      <c r="N131" s="37"/>
      <c r="O131" s="37"/>
      <c r="P131" s="37"/>
      <c r="Q131" s="37"/>
      <c r="R131" s="37"/>
      <c r="S131" s="37"/>
      <c r="T131" s="37"/>
      <c r="U131" s="37"/>
      <c r="V131" s="37"/>
      <c r="W131" s="37"/>
    </row>
    <row r="132" spans="1:23" ht="15.75" customHeight="1">
      <c r="A132" s="37"/>
      <c r="B132" s="37"/>
      <c r="C132" s="37"/>
      <c r="D132" s="37"/>
      <c r="E132" s="37"/>
      <c r="F132" s="37"/>
      <c r="G132" s="37"/>
      <c r="H132" s="37"/>
      <c r="I132" s="37"/>
      <c r="J132" s="37"/>
      <c r="K132" s="37"/>
      <c r="L132" s="37"/>
      <c r="M132" s="37"/>
      <c r="N132" s="37"/>
      <c r="O132" s="37"/>
      <c r="P132" s="37"/>
      <c r="Q132" s="37"/>
      <c r="R132" s="37"/>
      <c r="S132" s="37"/>
      <c r="T132" s="37"/>
      <c r="U132" s="37"/>
      <c r="V132" s="37"/>
      <c r="W132" s="37"/>
    </row>
    <row r="133" spans="1:23" ht="15.75" customHeight="1">
      <c r="A133" s="37"/>
      <c r="B133" s="37"/>
      <c r="C133" s="37"/>
      <c r="D133" s="37"/>
      <c r="E133" s="37"/>
      <c r="F133" s="37"/>
      <c r="G133" s="37"/>
      <c r="H133" s="37"/>
      <c r="I133" s="37"/>
      <c r="J133" s="37"/>
      <c r="K133" s="37"/>
      <c r="L133" s="37"/>
      <c r="M133" s="37"/>
      <c r="N133" s="37"/>
      <c r="O133" s="37"/>
      <c r="P133" s="37"/>
      <c r="Q133" s="37"/>
      <c r="R133" s="37"/>
      <c r="S133" s="37"/>
      <c r="T133" s="37"/>
      <c r="U133" s="37"/>
      <c r="V133" s="37"/>
      <c r="W133" s="37"/>
    </row>
    <row r="134" spans="1:23" ht="15.75" customHeight="1">
      <c r="A134" s="37"/>
      <c r="B134" s="37"/>
      <c r="C134" s="37"/>
      <c r="D134" s="37"/>
      <c r="E134" s="37"/>
      <c r="F134" s="37"/>
      <c r="G134" s="37"/>
      <c r="H134" s="37"/>
      <c r="I134" s="37"/>
      <c r="J134" s="37"/>
      <c r="K134" s="37"/>
      <c r="L134" s="37"/>
      <c r="M134" s="37"/>
      <c r="N134" s="37"/>
      <c r="O134" s="37"/>
      <c r="P134" s="37"/>
      <c r="Q134" s="37"/>
      <c r="R134" s="37"/>
      <c r="S134" s="37"/>
      <c r="T134" s="37"/>
      <c r="U134" s="37"/>
      <c r="V134" s="37"/>
      <c r="W134" s="37"/>
    </row>
    <row r="135" spans="1:23" ht="15.75" customHeight="1">
      <c r="A135" s="37"/>
      <c r="B135" s="37"/>
      <c r="C135" s="37"/>
      <c r="D135" s="37"/>
      <c r="E135" s="37"/>
      <c r="F135" s="37"/>
      <c r="G135" s="37"/>
      <c r="H135" s="37"/>
      <c r="I135" s="37"/>
      <c r="J135" s="37"/>
      <c r="K135" s="37"/>
      <c r="L135" s="37"/>
      <c r="M135" s="37"/>
      <c r="N135" s="37"/>
      <c r="O135" s="37"/>
      <c r="P135" s="37"/>
      <c r="Q135" s="37"/>
      <c r="R135" s="37"/>
      <c r="S135" s="37"/>
      <c r="T135" s="37"/>
      <c r="U135" s="37"/>
      <c r="V135" s="37"/>
      <c r="W135" s="37"/>
    </row>
    <row r="136" spans="1:23" ht="15.75" customHeight="1">
      <c r="A136" s="37"/>
      <c r="B136" s="37"/>
      <c r="C136" s="37"/>
      <c r="D136" s="37"/>
      <c r="E136" s="37"/>
      <c r="F136" s="37"/>
      <c r="G136" s="37"/>
      <c r="H136" s="37"/>
      <c r="I136" s="37"/>
      <c r="J136" s="37"/>
      <c r="K136" s="37"/>
      <c r="L136" s="37"/>
      <c r="M136" s="37"/>
      <c r="N136" s="37"/>
      <c r="O136" s="37"/>
      <c r="P136" s="37"/>
      <c r="Q136" s="37"/>
      <c r="R136" s="37"/>
      <c r="S136" s="37"/>
      <c r="T136" s="37"/>
      <c r="U136" s="37"/>
      <c r="V136" s="37"/>
      <c r="W136" s="37"/>
    </row>
    <row r="137" spans="1:23" ht="15.75" customHeight="1">
      <c r="A137" s="37"/>
      <c r="B137" s="37"/>
      <c r="C137" s="37"/>
      <c r="D137" s="37"/>
      <c r="E137" s="37"/>
      <c r="F137" s="37"/>
      <c r="G137" s="37"/>
      <c r="H137" s="37"/>
      <c r="I137" s="37"/>
      <c r="J137" s="37"/>
      <c r="K137" s="37"/>
      <c r="L137" s="37"/>
      <c r="M137" s="37"/>
      <c r="N137" s="37"/>
      <c r="O137" s="37"/>
      <c r="P137" s="37"/>
      <c r="Q137" s="37"/>
      <c r="R137" s="37"/>
      <c r="S137" s="37"/>
      <c r="T137" s="37"/>
      <c r="U137" s="37"/>
      <c r="V137" s="37"/>
      <c r="W137" s="37"/>
    </row>
    <row r="138" spans="1:23" ht="15.75" customHeight="1">
      <c r="A138" s="37"/>
      <c r="B138" s="37"/>
      <c r="C138" s="37"/>
      <c r="D138" s="37"/>
      <c r="E138" s="37"/>
      <c r="F138" s="37"/>
      <c r="G138" s="37"/>
      <c r="H138" s="37"/>
      <c r="I138" s="37"/>
      <c r="J138" s="37"/>
      <c r="K138" s="37"/>
      <c r="L138" s="37"/>
      <c r="M138" s="37"/>
      <c r="N138" s="37"/>
      <c r="O138" s="37"/>
      <c r="P138" s="37"/>
      <c r="Q138" s="37"/>
      <c r="R138" s="37"/>
      <c r="S138" s="37"/>
      <c r="T138" s="37"/>
      <c r="U138" s="37"/>
      <c r="V138" s="37"/>
      <c r="W138" s="37"/>
    </row>
    <row r="139" spans="1:23" ht="15.75" customHeight="1">
      <c r="A139" s="37"/>
      <c r="B139" s="37"/>
      <c r="C139" s="37"/>
      <c r="D139" s="37"/>
      <c r="E139" s="37"/>
      <c r="F139" s="37"/>
      <c r="G139" s="37"/>
      <c r="H139" s="37"/>
      <c r="I139" s="37"/>
      <c r="J139" s="37"/>
      <c r="K139" s="37"/>
      <c r="L139" s="37"/>
      <c r="M139" s="37"/>
      <c r="N139" s="37"/>
      <c r="O139" s="37"/>
      <c r="P139" s="37"/>
      <c r="Q139" s="37"/>
      <c r="R139" s="37"/>
      <c r="S139" s="37"/>
      <c r="T139" s="37"/>
      <c r="U139" s="37"/>
      <c r="V139" s="37"/>
      <c r="W139" s="37"/>
    </row>
    <row r="140" spans="1:23" ht="15.75" customHeight="1">
      <c r="A140" s="37"/>
      <c r="B140" s="37"/>
      <c r="C140" s="37"/>
      <c r="D140" s="37"/>
      <c r="E140" s="37"/>
      <c r="F140" s="37"/>
      <c r="G140" s="37"/>
      <c r="H140" s="37"/>
      <c r="I140" s="37"/>
      <c r="J140" s="37"/>
      <c r="K140" s="37"/>
      <c r="L140" s="37"/>
      <c r="M140" s="37"/>
      <c r="N140" s="37"/>
      <c r="O140" s="37"/>
      <c r="P140" s="37"/>
      <c r="Q140" s="37"/>
      <c r="R140" s="37"/>
      <c r="S140" s="37"/>
      <c r="T140" s="37"/>
      <c r="U140" s="37"/>
      <c r="V140" s="37"/>
      <c r="W140" s="37"/>
    </row>
    <row r="141" spans="1:23" ht="15.75" customHeight="1">
      <c r="A141" s="37"/>
      <c r="B141" s="37"/>
      <c r="C141" s="37"/>
      <c r="D141" s="37"/>
      <c r="E141" s="37"/>
      <c r="F141" s="37"/>
      <c r="G141" s="37"/>
      <c r="H141" s="37"/>
      <c r="I141" s="37"/>
      <c r="J141" s="37"/>
      <c r="K141" s="37"/>
      <c r="L141" s="37"/>
      <c r="M141" s="37"/>
      <c r="N141" s="37"/>
      <c r="O141" s="37"/>
      <c r="P141" s="37"/>
      <c r="Q141" s="37"/>
      <c r="R141" s="37"/>
      <c r="S141" s="37"/>
      <c r="T141" s="37"/>
      <c r="U141" s="37"/>
      <c r="V141" s="37"/>
      <c r="W141" s="37"/>
    </row>
    <row r="142" spans="1:23" ht="15.75" customHeight="1">
      <c r="A142" s="37"/>
      <c r="B142" s="37"/>
      <c r="C142" s="37"/>
      <c r="D142" s="37"/>
      <c r="E142" s="37"/>
      <c r="F142" s="37"/>
      <c r="G142" s="37"/>
      <c r="H142" s="37"/>
      <c r="I142" s="37"/>
      <c r="J142" s="37"/>
      <c r="K142" s="37"/>
      <c r="L142" s="37"/>
      <c r="M142" s="37"/>
      <c r="N142" s="37"/>
      <c r="O142" s="37"/>
      <c r="P142" s="37"/>
      <c r="Q142" s="37"/>
      <c r="R142" s="37"/>
      <c r="S142" s="37"/>
      <c r="T142" s="37"/>
      <c r="U142" s="37"/>
      <c r="V142" s="37"/>
      <c r="W142" s="37"/>
    </row>
    <row r="143" spans="1:23" ht="15.75" customHeight="1">
      <c r="A143" s="37"/>
      <c r="B143" s="37"/>
      <c r="C143" s="37"/>
      <c r="D143" s="37"/>
      <c r="E143" s="37"/>
      <c r="F143" s="37"/>
      <c r="G143" s="37"/>
      <c r="H143" s="37"/>
      <c r="I143" s="37"/>
      <c r="J143" s="37"/>
      <c r="K143" s="37"/>
      <c r="L143" s="37"/>
      <c r="M143" s="37"/>
      <c r="N143" s="37"/>
      <c r="O143" s="37"/>
      <c r="P143" s="37"/>
      <c r="Q143" s="37"/>
      <c r="R143" s="37"/>
      <c r="S143" s="37"/>
      <c r="T143" s="37"/>
      <c r="U143" s="37"/>
      <c r="V143" s="37"/>
      <c r="W143" s="37"/>
    </row>
    <row r="144" spans="1:23" ht="15.75" customHeight="1">
      <c r="A144" s="37"/>
      <c r="B144" s="37"/>
      <c r="C144" s="37"/>
      <c r="D144" s="37"/>
      <c r="E144" s="37"/>
      <c r="F144" s="37"/>
      <c r="G144" s="37"/>
      <c r="H144" s="37"/>
      <c r="I144" s="37"/>
      <c r="J144" s="37"/>
      <c r="K144" s="37"/>
      <c r="L144" s="37"/>
      <c r="M144" s="37"/>
      <c r="N144" s="37"/>
      <c r="O144" s="37"/>
      <c r="P144" s="37"/>
      <c r="Q144" s="37"/>
      <c r="R144" s="37"/>
      <c r="S144" s="37"/>
      <c r="T144" s="37"/>
      <c r="U144" s="37"/>
      <c r="V144" s="37"/>
      <c r="W144" s="37"/>
    </row>
    <row r="145" spans="1:23" ht="15.75" customHeight="1">
      <c r="A145" s="37"/>
      <c r="B145" s="37"/>
      <c r="C145" s="37"/>
      <c r="D145" s="37"/>
      <c r="E145" s="37"/>
      <c r="F145" s="37"/>
      <c r="G145" s="37"/>
      <c r="H145" s="37"/>
      <c r="I145" s="37"/>
      <c r="J145" s="37"/>
      <c r="K145" s="37"/>
      <c r="L145" s="37"/>
      <c r="M145" s="37"/>
      <c r="N145" s="37"/>
      <c r="O145" s="37"/>
      <c r="P145" s="37"/>
      <c r="Q145" s="37"/>
      <c r="R145" s="37"/>
      <c r="S145" s="37"/>
      <c r="T145" s="37"/>
      <c r="U145" s="37"/>
      <c r="V145" s="37"/>
      <c r="W145" s="37"/>
    </row>
    <row r="146" spans="1:23" ht="15.75" customHeight="1">
      <c r="A146" s="37"/>
      <c r="B146" s="37"/>
      <c r="C146" s="37"/>
      <c r="D146" s="37"/>
      <c r="E146" s="37"/>
      <c r="F146" s="37"/>
      <c r="G146" s="37"/>
      <c r="H146" s="37"/>
      <c r="I146" s="37"/>
      <c r="J146" s="37"/>
      <c r="K146" s="37"/>
      <c r="L146" s="37"/>
      <c r="M146" s="37"/>
      <c r="N146" s="37"/>
      <c r="O146" s="37"/>
      <c r="P146" s="37"/>
      <c r="Q146" s="37"/>
      <c r="R146" s="37"/>
      <c r="S146" s="37"/>
      <c r="T146" s="37"/>
      <c r="U146" s="37"/>
      <c r="V146" s="37"/>
      <c r="W146" s="37"/>
    </row>
    <row r="147" spans="1:23" ht="15.75" customHeight="1">
      <c r="A147" s="37"/>
      <c r="B147" s="37"/>
      <c r="C147" s="37"/>
      <c r="D147" s="37"/>
      <c r="E147" s="37"/>
      <c r="F147" s="37"/>
      <c r="G147" s="37"/>
      <c r="H147" s="37"/>
      <c r="I147" s="37"/>
      <c r="J147" s="37"/>
      <c r="K147" s="37"/>
      <c r="L147" s="37"/>
      <c r="M147" s="37"/>
      <c r="N147" s="37"/>
      <c r="O147" s="37"/>
      <c r="P147" s="37"/>
      <c r="Q147" s="37"/>
      <c r="R147" s="37"/>
      <c r="S147" s="37"/>
      <c r="T147" s="37"/>
      <c r="U147" s="37"/>
      <c r="V147" s="37"/>
      <c r="W147" s="37"/>
    </row>
    <row r="148" spans="1:23" ht="15.75" customHeight="1">
      <c r="A148" s="37"/>
      <c r="B148" s="37"/>
      <c r="C148" s="37"/>
      <c r="D148" s="37"/>
      <c r="E148" s="37"/>
      <c r="F148" s="37"/>
      <c r="G148" s="37"/>
      <c r="H148" s="37"/>
      <c r="I148" s="37"/>
      <c r="J148" s="37"/>
      <c r="K148" s="37"/>
      <c r="L148" s="37"/>
      <c r="M148" s="37"/>
      <c r="N148" s="37"/>
      <c r="O148" s="37"/>
      <c r="P148" s="37"/>
      <c r="Q148" s="37"/>
      <c r="R148" s="37"/>
      <c r="S148" s="37"/>
      <c r="T148" s="37"/>
      <c r="U148" s="37"/>
      <c r="V148" s="37"/>
      <c r="W148" s="37"/>
    </row>
    <row r="149" spans="1:23" ht="15.75" customHeight="1">
      <c r="A149" s="37"/>
      <c r="B149" s="37"/>
      <c r="C149" s="37"/>
      <c r="D149" s="37"/>
      <c r="E149" s="37"/>
      <c r="F149" s="37"/>
      <c r="G149" s="37"/>
      <c r="H149" s="37"/>
      <c r="I149" s="37"/>
      <c r="J149" s="37"/>
      <c r="K149" s="37"/>
      <c r="L149" s="37"/>
      <c r="M149" s="37"/>
      <c r="N149" s="37"/>
      <c r="O149" s="37"/>
      <c r="P149" s="37"/>
      <c r="Q149" s="37"/>
      <c r="R149" s="37"/>
      <c r="S149" s="37"/>
      <c r="T149" s="37"/>
      <c r="U149" s="37"/>
      <c r="V149" s="37"/>
      <c r="W149" s="37"/>
    </row>
    <row r="150" spans="1:23" ht="15.75" customHeight="1">
      <c r="A150" s="37"/>
      <c r="B150" s="37"/>
      <c r="C150" s="37"/>
      <c r="D150" s="37"/>
      <c r="E150" s="37"/>
      <c r="F150" s="37"/>
      <c r="G150" s="37"/>
      <c r="H150" s="37"/>
      <c r="I150" s="37"/>
      <c r="J150" s="37"/>
      <c r="K150" s="37"/>
      <c r="L150" s="37"/>
      <c r="M150" s="37"/>
      <c r="N150" s="37"/>
      <c r="O150" s="37"/>
      <c r="P150" s="37"/>
      <c r="Q150" s="37"/>
      <c r="R150" s="37"/>
      <c r="S150" s="37"/>
      <c r="T150" s="37"/>
      <c r="U150" s="37"/>
      <c r="V150" s="37"/>
      <c r="W150" s="37"/>
    </row>
    <row r="151" spans="1:23" ht="15.75" customHeight="1">
      <c r="A151" s="37"/>
      <c r="B151" s="37"/>
      <c r="C151" s="37"/>
      <c r="D151" s="37"/>
      <c r="E151" s="37"/>
      <c r="F151" s="37"/>
      <c r="G151" s="37"/>
      <c r="H151" s="37"/>
      <c r="I151" s="37"/>
      <c r="J151" s="37"/>
      <c r="K151" s="37"/>
      <c r="L151" s="37"/>
      <c r="M151" s="37"/>
      <c r="N151" s="37"/>
      <c r="O151" s="37"/>
      <c r="P151" s="37"/>
      <c r="Q151" s="37"/>
      <c r="R151" s="37"/>
      <c r="S151" s="37"/>
      <c r="T151" s="37"/>
      <c r="U151" s="37"/>
      <c r="V151" s="37"/>
      <c r="W151" s="37"/>
    </row>
    <row r="152" spans="1:23" ht="15.75" customHeight="1">
      <c r="A152" s="37"/>
      <c r="B152" s="37"/>
      <c r="C152" s="37"/>
      <c r="D152" s="37"/>
      <c r="E152" s="37"/>
      <c r="F152" s="37"/>
      <c r="G152" s="37"/>
      <c r="H152" s="37"/>
      <c r="I152" s="37"/>
      <c r="J152" s="37"/>
      <c r="K152" s="37"/>
      <c r="L152" s="37"/>
      <c r="M152" s="37"/>
      <c r="N152" s="37"/>
      <c r="O152" s="37"/>
      <c r="P152" s="37"/>
      <c r="Q152" s="37"/>
      <c r="R152" s="37"/>
      <c r="S152" s="37"/>
      <c r="T152" s="37"/>
      <c r="U152" s="37"/>
      <c r="V152" s="37"/>
      <c r="W152" s="37"/>
    </row>
    <row r="153" spans="1:23" ht="15.75" customHeight="1">
      <c r="A153" s="37"/>
      <c r="B153" s="37"/>
      <c r="C153" s="37"/>
      <c r="D153" s="37"/>
      <c r="E153" s="37"/>
      <c r="F153" s="37"/>
      <c r="G153" s="37"/>
      <c r="H153" s="37"/>
      <c r="I153" s="37"/>
      <c r="J153" s="37"/>
      <c r="K153" s="37"/>
      <c r="L153" s="37"/>
      <c r="M153" s="37"/>
      <c r="N153" s="37"/>
      <c r="O153" s="37"/>
      <c r="P153" s="37"/>
      <c r="Q153" s="37"/>
      <c r="R153" s="37"/>
      <c r="S153" s="37"/>
      <c r="T153" s="37"/>
      <c r="U153" s="37"/>
      <c r="V153" s="37"/>
      <c r="W153" s="37"/>
    </row>
    <row r="154" spans="1:23" ht="15.75" customHeight="1">
      <c r="A154" s="37"/>
      <c r="B154" s="37"/>
      <c r="C154" s="37"/>
      <c r="D154" s="37"/>
      <c r="E154" s="37"/>
      <c r="F154" s="37"/>
      <c r="G154" s="37"/>
      <c r="H154" s="37"/>
      <c r="I154" s="37"/>
      <c r="J154" s="37"/>
      <c r="K154" s="37"/>
      <c r="L154" s="37"/>
      <c r="M154" s="37"/>
      <c r="N154" s="37"/>
      <c r="O154" s="37"/>
      <c r="P154" s="37"/>
      <c r="Q154" s="37"/>
      <c r="R154" s="37"/>
      <c r="S154" s="37"/>
      <c r="T154" s="37"/>
      <c r="U154" s="37"/>
      <c r="V154" s="37"/>
      <c r="W154" s="37"/>
    </row>
    <row r="155" spans="1:23" ht="15.75" customHeight="1">
      <c r="A155" s="37"/>
      <c r="B155" s="37"/>
      <c r="C155" s="37"/>
      <c r="D155" s="37"/>
      <c r="E155" s="37"/>
      <c r="F155" s="37"/>
      <c r="G155" s="37"/>
      <c r="H155" s="37"/>
      <c r="I155" s="37"/>
      <c r="J155" s="37"/>
      <c r="K155" s="37"/>
      <c r="L155" s="37"/>
      <c r="M155" s="37"/>
      <c r="N155" s="37"/>
      <c r="O155" s="37"/>
      <c r="P155" s="37"/>
      <c r="Q155" s="37"/>
      <c r="R155" s="37"/>
      <c r="S155" s="37"/>
      <c r="T155" s="37"/>
      <c r="U155" s="37"/>
      <c r="V155" s="37"/>
      <c r="W155" s="37"/>
    </row>
    <row r="156" spans="1:23" ht="15.75" customHeight="1">
      <c r="A156" s="37"/>
      <c r="B156" s="37"/>
      <c r="C156" s="37"/>
      <c r="D156" s="37"/>
      <c r="E156" s="37"/>
      <c r="F156" s="37"/>
      <c r="G156" s="37"/>
      <c r="H156" s="37"/>
      <c r="I156" s="37"/>
      <c r="J156" s="37"/>
      <c r="K156" s="37"/>
      <c r="L156" s="37"/>
      <c r="M156" s="37"/>
      <c r="N156" s="37"/>
      <c r="O156" s="37"/>
      <c r="P156" s="37"/>
      <c r="Q156" s="37"/>
      <c r="R156" s="37"/>
      <c r="S156" s="37"/>
      <c r="T156" s="37"/>
      <c r="U156" s="37"/>
      <c r="V156" s="37"/>
      <c r="W156" s="37"/>
    </row>
    <row r="157" spans="1:23" ht="15.75" customHeight="1">
      <c r="A157" s="37"/>
      <c r="B157" s="37"/>
      <c r="C157" s="37"/>
      <c r="D157" s="37"/>
      <c r="E157" s="37"/>
      <c r="F157" s="37"/>
      <c r="G157" s="37"/>
      <c r="H157" s="37"/>
      <c r="I157" s="37"/>
      <c r="J157" s="37"/>
      <c r="K157" s="37"/>
      <c r="L157" s="37"/>
      <c r="M157" s="37"/>
      <c r="N157" s="37"/>
      <c r="O157" s="37"/>
      <c r="P157" s="37"/>
      <c r="Q157" s="37"/>
      <c r="R157" s="37"/>
      <c r="S157" s="37"/>
      <c r="T157" s="37"/>
      <c r="U157" s="37"/>
      <c r="V157" s="37"/>
      <c r="W157" s="37"/>
    </row>
    <row r="158" spans="1:23" ht="15.75" customHeight="1">
      <c r="A158" s="37"/>
      <c r="B158" s="37"/>
      <c r="C158" s="37"/>
      <c r="D158" s="37"/>
      <c r="E158" s="37"/>
      <c r="F158" s="37"/>
      <c r="G158" s="37"/>
      <c r="H158" s="37"/>
      <c r="I158" s="37"/>
      <c r="J158" s="37"/>
      <c r="K158" s="37"/>
      <c r="L158" s="37"/>
      <c r="M158" s="37"/>
      <c r="N158" s="37"/>
      <c r="O158" s="37"/>
      <c r="P158" s="37"/>
      <c r="Q158" s="37"/>
      <c r="R158" s="37"/>
      <c r="S158" s="37"/>
      <c r="T158" s="37"/>
      <c r="U158" s="37"/>
      <c r="V158" s="37"/>
      <c r="W158" s="37"/>
    </row>
    <row r="159" spans="1:23" ht="15.75" customHeight="1">
      <c r="A159" s="37"/>
      <c r="B159" s="37"/>
      <c r="C159" s="37"/>
      <c r="D159" s="37"/>
      <c r="E159" s="37"/>
      <c r="F159" s="37"/>
      <c r="G159" s="37"/>
      <c r="H159" s="37"/>
      <c r="I159" s="37"/>
      <c r="J159" s="37"/>
      <c r="K159" s="37"/>
      <c r="L159" s="37"/>
      <c r="M159" s="37"/>
      <c r="N159" s="37"/>
      <c r="O159" s="37"/>
      <c r="P159" s="37"/>
      <c r="Q159" s="37"/>
      <c r="R159" s="37"/>
      <c r="S159" s="37"/>
      <c r="T159" s="37"/>
      <c r="U159" s="37"/>
      <c r="V159" s="37"/>
      <c r="W159" s="37"/>
    </row>
    <row r="160" spans="1:23" ht="15.75" customHeight="1">
      <c r="A160" s="37"/>
      <c r="B160" s="37"/>
      <c r="C160" s="37"/>
      <c r="D160" s="37"/>
      <c r="E160" s="37"/>
      <c r="F160" s="37"/>
      <c r="G160" s="37"/>
      <c r="H160" s="37"/>
      <c r="I160" s="37"/>
      <c r="J160" s="37"/>
      <c r="K160" s="37"/>
      <c r="L160" s="37"/>
      <c r="M160" s="37"/>
      <c r="N160" s="37"/>
      <c r="O160" s="37"/>
      <c r="P160" s="37"/>
      <c r="Q160" s="37"/>
      <c r="R160" s="37"/>
      <c r="S160" s="37"/>
      <c r="T160" s="37"/>
      <c r="U160" s="37"/>
      <c r="V160" s="37"/>
      <c r="W160" s="37"/>
    </row>
    <row r="161" spans="1:23" ht="15.75" customHeight="1">
      <c r="A161" s="37"/>
      <c r="B161" s="37"/>
      <c r="C161" s="37"/>
      <c r="D161" s="37"/>
      <c r="E161" s="37"/>
      <c r="F161" s="37"/>
      <c r="G161" s="37"/>
      <c r="H161" s="37"/>
      <c r="I161" s="37"/>
      <c r="J161" s="37"/>
      <c r="K161" s="37"/>
      <c r="L161" s="37"/>
      <c r="M161" s="37"/>
      <c r="N161" s="37"/>
      <c r="O161" s="37"/>
      <c r="P161" s="37"/>
      <c r="Q161" s="37"/>
      <c r="R161" s="37"/>
      <c r="S161" s="37"/>
      <c r="T161" s="37"/>
      <c r="U161" s="37"/>
      <c r="V161" s="37"/>
      <c r="W161" s="37"/>
    </row>
    <row r="162" spans="1:23" ht="15.75" customHeight="1">
      <c r="A162" s="37"/>
      <c r="B162" s="37"/>
      <c r="C162" s="37"/>
      <c r="D162" s="37"/>
      <c r="E162" s="37"/>
      <c r="F162" s="37"/>
      <c r="G162" s="37"/>
      <c r="H162" s="37"/>
      <c r="I162" s="37"/>
      <c r="J162" s="37"/>
      <c r="K162" s="37"/>
      <c r="L162" s="37"/>
      <c r="M162" s="37"/>
      <c r="N162" s="37"/>
      <c r="O162" s="37"/>
      <c r="P162" s="37"/>
      <c r="Q162" s="37"/>
      <c r="R162" s="37"/>
      <c r="S162" s="37"/>
      <c r="T162" s="37"/>
      <c r="U162" s="37"/>
      <c r="V162" s="37"/>
      <c r="W162" s="37"/>
    </row>
    <row r="163" spans="1:23" ht="15.75" customHeight="1">
      <c r="A163" s="37"/>
      <c r="B163" s="37"/>
      <c r="C163" s="37"/>
      <c r="D163" s="37"/>
      <c r="E163" s="37"/>
      <c r="F163" s="37"/>
      <c r="G163" s="37"/>
      <c r="H163" s="37"/>
      <c r="I163" s="37"/>
      <c r="J163" s="37"/>
      <c r="K163" s="37"/>
      <c r="L163" s="37"/>
      <c r="M163" s="37"/>
      <c r="N163" s="37"/>
      <c r="O163" s="37"/>
      <c r="P163" s="37"/>
      <c r="Q163" s="37"/>
      <c r="R163" s="37"/>
      <c r="S163" s="37"/>
      <c r="T163" s="37"/>
      <c r="U163" s="37"/>
      <c r="V163" s="37"/>
      <c r="W163" s="37"/>
    </row>
    <row r="164" spans="1:23" ht="15.75" customHeight="1">
      <c r="A164" s="37"/>
      <c r="B164" s="37"/>
      <c r="C164" s="37"/>
      <c r="D164" s="37"/>
      <c r="E164" s="37"/>
      <c r="F164" s="37"/>
      <c r="G164" s="37"/>
      <c r="H164" s="37"/>
      <c r="I164" s="37"/>
      <c r="J164" s="37"/>
      <c r="K164" s="37"/>
      <c r="L164" s="37"/>
      <c r="M164" s="37"/>
      <c r="N164" s="37"/>
      <c r="O164" s="37"/>
      <c r="P164" s="37"/>
      <c r="Q164" s="37"/>
      <c r="R164" s="37"/>
      <c r="S164" s="37"/>
      <c r="T164" s="37"/>
      <c r="U164" s="37"/>
      <c r="V164" s="37"/>
      <c r="W164" s="37"/>
    </row>
    <row r="165" spans="1:23" ht="15.75" customHeight="1">
      <c r="A165" s="37"/>
      <c r="B165" s="37"/>
      <c r="C165" s="37"/>
      <c r="D165" s="37"/>
      <c r="E165" s="37"/>
      <c r="F165" s="37"/>
      <c r="G165" s="37"/>
      <c r="H165" s="37"/>
      <c r="I165" s="37"/>
      <c r="J165" s="37"/>
      <c r="K165" s="37"/>
      <c r="L165" s="37"/>
      <c r="M165" s="37"/>
      <c r="N165" s="37"/>
      <c r="O165" s="37"/>
      <c r="P165" s="37"/>
      <c r="Q165" s="37"/>
      <c r="R165" s="37"/>
      <c r="S165" s="37"/>
      <c r="T165" s="37"/>
      <c r="U165" s="37"/>
      <c r="V165" s="37"/>
      <c r="W165" s="37"/>
    </row>
    <row r="166" spans="1:23" ht="15.75" customHeight="1">
      <c r="A166" s="37"/>
      <c r="B166" s="37"/>
      <c r="C166" s="37"/>
      <c r="D166" s="37"/>
      <c r="E166" s="37"/>
      <c r="F166" s="37"/>
      <c r="G166" s="37"/>
      <c r="H166" s="37"/>
      <c r="I166" s="37"/>
      <c r="J166" s="37"/>
      <c r="K166" s="37"/>
      <c r="L166" s="37"/>
      <c r="M166" s="37"/>
      <c r="N166" s="37"/>
      <c r="O166" s="37"/>
      <c r="P166" s="37"/>
      <c r="Q166" s="37"/>
      <c r="R166" s="37"/>
      <c r="S166" s="37"/>
      <c r="T166" s="37"/>
      <c r="U166" s="37"/>
      <c r="V166" s="37"/>
      <c r="W166" s="37"/>
    </row>
    <row r="167" spans="1:23" ht="15.75" customHeight="1">
      <c r="A167" s="37"/>
      <c r="B167" s="37"/>
      <c r="C167" s="37"/>
      <c r="D167" s="37"/>
      <c r="E167" s="37"/>
      <c r="F167" s="37"/>
      <c r="G167" s="37"/>
      <c r="H167" s="37"/>
      <c r="I167" s="37"/>
      <c r="J167" s="37"/>
      <c r="K167" s="37"/>
      <c r="L167" s="37"/>
      <c r="M167" s="37"/>
      <c r="N167" s="37"/>
      <c r="O167" s="37"/>
      <c r="P167" s="37"/>
      <c r="Q167" s="37"/>
      <c r="R167" s="37"/>
      <c r="S167" s="37"/>
      <c r="T167" s="37"/>
      <c r="U167" s="37"/>
      <c r="V167" s="37"/>
      <c r="W167" s="37"/>
    </row>
    <row r="168" spans="1:23" ht="15.75" customHeight="1">
      <c r="A168" s="37"/>
      <c r="B168" s="37"/>
      <c r="C168" s="37"/>
      <c r="D168" s="37"/>
      <c r="E168" s="37"/>
      <c r="F168" s="37"/>
      <c r="G168" s="37"/>
      <c r="H168" s="37"/>
      <c r="I168" s="37"/>
      <c r="J168" s="37"/>
      <c r="K168" s="37"/>
      <c r="L168" s="37"/>
      <c r="M168" s="37"/>
      <c r="N168" s="37"/>
      <c r="O168" s="37"/>
      <c r="P168" s="37"/>
      <c r="Q168" s="37"/>
      <c r="R168" s="37"/>
      <c r="S168" s="37"/>
      <c r="T168" s="37"/>
      <c r="U168" s="37"/>
      <c r="V168" s="37"/>
      <c r="W168" s="37"/>
    </row>
    <row r="169" spans="1:23" ht="15.75" customHeight="1">
      <c r="A169" s="37"/>
      <c r="B169" s="37"/>
      <c r="C169" s="37"/>
      <c r="D169" s="37"/>
      <c r="E169" s="37"/>
      <c r="F169" s="37"/>
      <c r="G169" s="37"/>
      <c r="H169" s="37"/>
      <c r="I169" s="37"/>
      <c r="J169" s="37"/>
      <c r="K169" s="37"/>
      <c r="L169" s="37"/>
      <c r="M169" s="37"/>
      <c r="N169" s="37"/>
      <c r="O169" s="37"/>
      <c r="P169" s="37"/>
      <c r="Q169" s="37"/>
      <c r="R169" s="37"/>
      <c r="S169" s="37"/>
      <c r="T169" s="37"/>
      <c r="U169" s="37"/>
      <c r="V169" s="37"/>
      <c r="W169" s="37"/>
    </row>
    <row r="170" spans="1:23" ht="15.75" customHeight="1">
      <c r="A170" s="37"/>
      <c r="B170" s="37"/>
      <c r="C170" s="37"/>
      <c r="D170" s="37"/>
      <c r="E170" s="37"/>
      <c r="F170" s="37"/>
      <c r="G170" s="37"/>
      <c r="H170" s="37"/>
      <c r="I170" s="37"/>
      <c r="J170" s="37"/>
      <c r="K170" s="37"/>
      <c r="L170" s="37"/>
      <c r="M170" s="37"/>
      <c r="N170" s="37"/>
      <c r="O170" s="37"/>
      <c r="P170" s="37"/>
      <c r="Q170" s="37"/>
      <c r="R170" s="37"/>
      <c r="S170" s="37"/>
      <c r="T170" s="37"/>
      <c r="U170" s="37"/>
      <c r="V170" s="37"/>
      <c r="W170" s="37"/>
    </row>
    <row r="171" spans="1:23" ht="15.75" customHeight="1">
      <c r="A171" s="37"/>
      <c r="B171" s="37"/>
      <c r="C171" s="37"/>
      <c r="D171" s="37"/>
      <c r="E171" s="37"/>
      <c r="F171" s="37"/>
      <c r="G171" s="37"/>
      <c r="H171" s="37"/>
      <c r="I171" s="37"/>
      <c r="J171" s="37"/>
      <c r="K171" s="37"/>
      <c r="L171" s="37"/>
      <c r="M171" s="37"/>
      <c r="N171" s="37"/>
      <c r="O171" s="37"/>
      <c r="P171" s="37"/>
      <c r="Q171" s="37"/>
      <c r="R171" s="37"/>
      <c r="S171" s="37"/>
      <c r="T171" s="37"/>
      <c r="U171" s="37"/>
      <c r="V171" s="37"/>
      <c r="W171" s="37"/>
    </row>
    <row r="172" spans="1:23" ht="15.75" customHeight="1">
      <c r="A172" s="37"/>
      <c r="B172" s="37"/>
      <c r="C172" s="37"/>
      <c r="D172" s="37"/>
      <c r="E172" s="37"/>
      <c r="F172" s="37"/>
      <c r="G172" s="37"/>
      <c r="H172" s="37"/>
      <c r="I172" s="37"/>
      <c r="J172" s="37"/>
      <c r="K172" s="37"/>
      <c r="L172" s="37"/>
      <c r="M172" s="37"/>
      <c r="N172" s="37"/>
      <c r="O172" s="37"/>
      <c r="P172" s="37"/>
      <c r="Q172" s="37"/>
      <c r="R172" s="37"/>
      <c r="S172" s="37"/>
      <c r="T172" s="37"/>
      <c r="U172" s="37"/>
      <c r="V172" s="37"/>
      <c r="W172" s="37"/>
    </row>
    <row r="173" spans="1:23" ht="15.75" customHeight="1">
      <c r="A173" s="37"/>
      <c r="B173" s="37"/>
      <c r="C173" s="37"/>
      <c r="D173" s="37"/>
      <c r="E173" s="37"/>
      <c r="F173" s="37"/>
      <c r="G173" s="37"/>
      <c r="H173" s="37"/>
      <c r="I173" s="37"/>
      <c r="J173" s="37"/>
      <c r="K173" s="37"/>
      <c r="L173" s="37"/>
      <c r="M173" s="37"/>
      <c r="N173" s="37"/>
      <c r="O173" s="37"/>
      <c r="P173" s="37"/>
      <c r="Q173" s="37"/>
      <c r="R173" s="37"/>
      <c r="S173" s="37"/>
      <c r="T173" s="37"/>
      <c r="U173" s="37"/>
      <c r="V173" s="37"/>
      <c r="W173" s="37"/>
    </row>
    <row r="174" spans="1:23" ht="15.75" customHeight="1">
      <c r="A174" s="37"/>
      <c r="B174" s="37"/>
      <c r="C174" s="37"/>
      <c r="D174" s="37"/>
      <c r="E174" s="37"/>
      <c r="F174" s="37"/>
      <c r="G174" s="37"/>
      <c r="H174" s="37"/>
      <c r="I174" s="37"/>
      <c r="J174" s="37"/>
      <c r="K174" s="37"/>
      <c r="L174" s="37"/>
      <c r="M174" s="37"/>
      <c r="N174" s="37"/>
      <c r="O174" s="37"/>
      <c r="P174" s="37"/>
      <c r="Q174" s="37"/>
      <c r="R174" s="37"/>
      <c r="S174" s="37"/>
      <c r="T174" s="37"/>
      <c r="U174" s="37"/>
      <c r="V174" s="37"/>
      <c r="W174" s="37"/>
    </row>
    <row r="175" spans="1:23" ht="15.75" customHeight="1">
      <c r="A175" s="37"/>
      <c r="B175" s="37"/>
      <c r="C175" s="37"/>
      <c r="D175" s="37"/>
      <c r="E175" s="37"/>
      <c r="F175" s="37"/>
      <c r="G175" s="37"/>
      <c r="H175" s="37"/>
      <c r="I175" s="37"/>
      <c r="J175" s="37"/>
      <c r="K175" s="37"/>
      <c r="L175" s="37"/>
      <c r="M175" s="37"/>
      <c r="N175" s="37"/>
      <c r="O175" s="37"/>
      <c r="P175" s="37"/>
      <c r="Q175" s="37"/>
      <c r="R175" s="37"/>
      <c r="S175" s="37"/>
      <c r="T175" s="37"/>
      <c r="U175" s="37"/>
      <c r="V175" s="37"/>
      <c r="W175" s="37"/>
    </row>
    <row r="176" spans="1:23" ht="15.75" customHeight="1">
      <c r="A176" s="37"/>
      <c r="B176" s="37"/>
      <c r="C176" s="37"/>
      <c r="D176" s="37"/>
      <c r="E176" s="37"/>
      <c r="F176" s="37"/>
      <c r="G176" s="37"/>
      <c r="H176" s="37"/>
      <c r="I176" s="37"/>
      <c r="J176" s="37"/>
      <c r="K176" s="37"/>
      <c r="L176" s="37"/>
      <c r="M176" s="37"/>
      <c r="N176" s="37"/>
      <c r="O176" s="37"/>
      <c r="P176" s="37"/>
      <c r="Q176" s="37"/>
      <c r="R176" s="37"/>
      <c r="S176" s="37"/>
      <c r="T176" s="37"/>
      <c r="U176" s="37"/>
      <c r="V176" s="37"/>
      <c r="W176" s="37"/>
    </row>
    <row r="177" spans="1:23" ht="15.75" customHeight="1">
      <c r="A177" s="37"/>
      <c r="B177" s="37"/>
      <c r="C177" s="37"/>
      <c r="D177" s="37"/>
      <c r="E177" s="37"/>
      <c r="F177" s="37"/>
      <c r="G177" s="37"/>
      <c r="H177" s="37"/>
      <c r="I177" s="37"/>
      <c r="J177" s="37"/>
      <c r="K177" s="37"/>
      <c r="L177" s="37"/>
      <c r="M177" s="37"/>
      <c r="N177" s="37"/>
      <c r="O177" s="37"/>
      <c r="P177" s="37"/>
      <c r="Q177" s="37"/>
      <c r="R177" s="37"/>
      <c r="S177" s="37"/>
      <c r="T177" s="37"/>
      <c r="U177" s="37"/>
      <c r="V177" s="37"/>
      <c r="W177" s="37"/>
    </row>
    <row r="178" spans="1:23" ht="15.75" customHeight="1">
      <c r="A178" s="37"/>
      <c r="B178" s="37"/>
      <c r="C178" s="37"/>
      <c r="D178" s="37"/>
      <c r="E178" s="37"/>
      <c r="F178" s="37"/>
      <c r="G178" s="37"/>
      <c r="H178" s="37"/>
      <c r="I178" s="37"/>
      <c r="J178" s="37"/>
      <c r="K178" s="37"/>
      <c r="L178" s="37"/>
      <c r="M178" s="37"/>
      <c r="N178" s="37"/>
      <c r="O178" s="37"/>
      <c r="P178" s="37"/>
      <c r="Q178" s="37"/>
      <c r="R178" s="37"/>
      <c r="S178" s="37"/>
      <c r="T178" s="37"/>
      <c r="U178" s="37"/>
      <c r="V178" s="37"/>
      <c r="W178" s="37"/>
    </row>
    <row r="179" spans="1:23" ht="15.75" customHeight="1">
      <c r="A179" s="37"/>
      <c r="B179" s="37"/>
      <c r="C179" s="37"/>
      <c r="D179" s="37"/>
      <c r="E179" s="37"/>
      <c r="F179" s="37"/>
      <c r="G179" s="37"/>
      <c r="H179" s="37"/>
      <c r="I179" s="37"/>
      <c r="J179" s="37"/>
      <c r="K179" s="37"/>
      <c r="L179" s="37"/>
      <c r="M179" s="37"/>
      <c r="N179" s="37"/>
      <c r="O179" s="37"/>
      <c r="P179" s="37"/>
      <c r="Q179" s="37"/>
      <c r="R179" s="37"/>
      <c r="S179" s="37"/>
      <c r="T179" s="37"/>
      <c r="U179" s="37"/>
      <c r="V179" s="37"/>
      <c r="W179" s="37"/>
    </row>
    <row r="180" spans="1:23" ht="15.75" customHeight="1">
      <c r="A180" s="37"/>
      <c r="B180" s="37"/>
      <c r="C180" s="37"/>
      <c r="D180" s="37"/>
      <c r="E180" s="37"/>
      <c r="F180" s="37"/>
      <c r="G180" s="37"/>
      <c r="H180" s="37"/>
      <c r="I180" s="37"/>
      <c r="J180" s="37"/>
      <c r="K180" s="37"/>
      <c r="L180" s="37"/>
      <c r="M180" s="37"/>
      <c r="N180" s="37"/>
      <c r="O180" s="37"/>
      <c r="P180" s="37"/>
      <c r="Q180" s="37"/>
      <c r="R180" s="37"/>
      <c r="S180" s="37"/>
      <c r="T180" s="37"/>
      <c r="U180" s="37"/>
      <c r="V180" s="37"/>
      <c r="W180" s="37"/>
    </row>
    <row r="181" spans="1:23" ht="15.75" customHeight="1">
      <c r="A181" s="37"/>
      <c r="B181" s="37"/>
      <c r="C181" s="37"/>
      <c r="D181" s="37"/>
      <c r="E181" s="37"/>
      <c r="F181" s="37"/>
      <c r="G181" s="37"/>
      <c r="H181" s="37"/>
      <c r="I181" s="37"/>
      <c r="J181" s="37"/>
      <c r="K181" s="37"/>
      <c r="L181" s="37"/>
      <c r="M181" s="37"/>
      <c r="N181" s="37"/>
      <c r="O181" s="37"/>
      <c r="P181" s="37"/>
      <c r="Q181" s="37"/>
      <c r="R181" s="37"/>
      <c r="S181" s="37"/>
      <c r="T181" s="37"/>
      <c r="U181" s="37"/>
      <c r="V181" s="37"/>
      <c r="W181" s="37"/>
    </row>
    <row r="182" spans="1:23" ht="15.75" customHeight="1">
      <c r="A182" s="37"/>
      <c r="B182" s="37"/>
      <c r="C182" s="37"/>
      <c r="D182" s="37"/>
      <c r="E182" s="37"/>
      <c r="F182" s="37"/>
      <c r="G182" s="37"/>
      <c r="H182" s="37"/>
      <c r="I182" s="37"/>
      <c r="J182" s="37"/>
      <c r="K182" s="37"/>
      <c r="L182" s="37"/>
      <c r="M182" s="37"/>
      <c r="N182" s="37"/>
      <c r="O182" s="37"/>
      <c r="P182" s="37"/>
      <c r="Q182" s="37"/>
      <c r="R182" s="37"/>
      <c r="S182" s="37"/>
      <c r="T182" s="37"/>
      <c r="U182" s="37"/>
      <c r="V182" s="37"/>
      <c r="W182" s="37"/>
    </row>
    <row r="183" spans="1:23" ht="15.75" customHeight="1">
      <c r="A183" s="37"/>
      <c r="B183" s="37"/>
      <c r="C183" s="37"/>
      <c r="D183" s="37"/>
      <c r="E183" s="37"/>
      <c r="F183" s="37"/>
      <c r="G183" s="37"/>
      <c r="H183" s="37"/>
      <c r="I183" s="37"/>
      <c r="J183" s="37"/>
      <c r="K183" s="37"/>
      <c r="L183" s="37"/>
      <c r="M183" s="37"/>
      <c r="N183" s="37"/>
      <c r="O183" s="37"/>
      <c r="P183" s="37"/>
      <c r="Q183" s="37"/>
      <c r="R183" s="37"/>
      <c r="S183" s="37"/>
      <c r="T183" s="37"/>
      <c r="U183" s="37"/>
      <c r="V183" s="37"/>
      <c r="W183" s="37"/>
    </row>
    <row r="184" spans="1:23" ht="15.75" customHeight="1">
      <c r="A184" s="37"/>
      <c r="B184" s="37"/>
      <c r="C184" s="37"/>
      <c r="D184" s="37"/>
      <c r="E184" s="37"/>
      <c r="F184" s="37"/>
      <c r="G184" s="37"/>
      <c r="H184" s="37"/>
      <c r="I184" s="37"/>
      <c r="J184" s="37"/>
      <c r="K184" s="37"/>
      <c r="L184" s="37"/>
      <c r="M184" s="37"/>
      <c r="N184" s="37"/>
      <c r="O184" s="37"/>
      <c r="P184" s="37"/>
      <c r="Q184" s="37"/>
      <c r="R184" s="37"/>
      <c r="S184" s="37"/>
      <c r="T184" s="37"/>
      <c r="U184" s="37"/>
      <c r="V184" s="37"/>
      <c r="W184" s="37"/>
    </row>
    <row r="185" spans="1:23" ht="15.75" customHeight="1">
      <c r="A185" s="37"/>
      <c r="B185" s="37"/>
      <c r="C185" s="37"/>
      <c r="D185" s="37"/>
      <c r="E185" s="37"/>
      <c r="F185" s="37"/>
      <c r="G185" s="37"/>
      <c r="H185" s="37"/>
      <c r="I185" s="37"/>
      <c r="J185" s="37"/>
      <c r="K185" s="37"/>
      <c r="L185" s="37"/>
      <c r="M185" s="37"/>
      <c r="N185" s="37"/>
      <c r="O185" s="37"/>
      <c r="P185" s="37"/>
      <c r="Q185" s="37"/>
      <c r="R185" s="37"/>
      <c r="S185" s="37"/>
      <c r="T185" s="37"/>
      <c r="U185" s="37"/>
      <c r="V185" s="37"/>
      <c r="W185" s="37"/>
    </row>
    <row r="186" spans="1:23" ht="15.75" customHeight="1">
      <c r="A186" s="37"/>
      <c r="B186" s="37"/>
      <c r="C186" s="37"/>
      <c r="D186" s="37"/>
      <c r="E186" s="37"/>
      <c r="F186" s="37"/>
      <c r="G186" s="37"/>
      <c r="H186" s="37"/>
      <c r="I186" s="37"/>
      <c r="J186" s="37"/>
      <c r="K186" s="37"/>
      <c r="L186" s="37"/>
      <c r="M186" s="37"/>
      <c r="N186" s="37"/>
      <c r="O186" s="37"/>
      <c r="P186" s="37"/>
      <c r="Q186" s="37"/>
      <c r="R186" s="37"/>
      <c r="S186" s="37"/>
      <c r="T186" s="37"/>
      <c r="U186" s="37"/>
      <c r="V186" s="37"/>
      <c r="W186" s="37"/>
    </row>
    <row r="187" spans="1:23" ht="15.75" customHeight="1">
      <c r="A187" s="37"/>
      <c r="B187" s="37"/>
      <c r="C187" s="37"/>
      <c r="D187" s="37"/>
      <c r="E187" s="37"/>
      <c r="F187" s="37"/>
      <c r="G187" s="37"/>
      <c r="H187" s="37"/>
      <c r="I187" s="37"/>
      <c r="J187" s="37"/>
      <c r="K187" s="37"/>
      <c r="L187" s="37"/>
      <c r="M187" s="37"/>
      <c r="N187" s="37"/>
      <c r="O187" s="37"/>
      <c r="P187" s="37"/>
      <c r="Q187" s="37"/>
      <c r="R187" s="37"/>
      <c r="S187" s="37"/>
      <c r="T187" s="37"/>
      <c r="U187" s="37"/>
      <c r="V187" s="37"/>
      <c r="W187" s="37"/>
    </row>
  </sheetData>
  <mergeCells count="25">
    <mergeCell ref="I27:I30"/>
    <mergeCell ref="I2:L2"/>
    <mergeCell ref="I19:I22"/>
    <mergeCell ref="I23:I26"/>
    <mergeCell ref="J27:J30"/>
    <mergeCell ref="L27:L30"/>
    <mergeCell ref="J11:J14"/>
    <mergeCell ref="J15:J18"/>
    <mergeCell ref="J19:J22"/>
    <mergeCell ref="J23:J26"/>
    <mergeCell ref="K11:K14"/>
    <mergeCell ref="K15:K18"/>
    <mergeCell ref="K19:K22"/>
    <mergeCell ref="K23:K26"/>
    <mergeCell ref="L19:L22"/>
    <mergeCell ref="L23:L26"/>
    <mergeCell ref="K7:K10"/>
    <mergeCell ref="K27:K30"/>
    <mergeCell ref="L7:L10"/>
    <mergeCell ref="I7:I10"/>
    <mergeCell ref="I11:I14"/>
    <mergeCell ref="I15:I18"/>
    <mergeCell ref="J7:J10"/>
    <mergeCell ref="L11:L14"/>
    <mergeCell ref="L15:L18"/>
  </mergeCells>
  <conditionalFormatting sqref="J7">
    <cfRule type="containsText" dxfId="98" priority="52" operator="containsText" text="Sustainable">
      <formula>NOT(ISERROR(SEARCH("Sustainable",J7)))</formula>
    </cfRule>
    <cfRule type="containsText" dxfId="97" priority="53" operator="containsText" text="Moderate">
      <formula>NOT(ISERROR(SEARCH("Moderate",J7)))</formula>
    </cfRule>
    <cfRule type="containsText" dxfId="96" priority="54" operator="containsText" text="Severe">
      <formula>NOT(ISERROR(SEARCH("Severe",J7)))</formula>
    </cfRule>
    <cfRule type="containsText" dxfId="95" priority="55" operator="containsText" text="Critical">
      <formula>NOT(ISERROR(SEARCH("Critical",J7)))</formula>
    </cfRule>
  </conditionalFormatting>
  <conditionalFormatting sqref="J11">
    <cfRule type="containsText" dxfId="94" priority="48" operator="containsText" text="Sustainable">
      <formula>NOT(ISERROR(SEARCH("Sustainable",J11)))</formula>
    </cfRule>
    <cfRule type="containsText" dxfId="93" priority="49" operator="containsText" text="Moderate">
      <formula>NOT(ISERROR(SEARCH("Moderate",J11)))</formula>
    </cfRule>
    <cfRule type="containsText" dxfId="92" priority="50" operator="containsText" text="Severe">
      <formula>NOT(ISERROR(SEARCH("Severe",J11)))</formula>
    </cfRule>
    <cfRule type="containsText" dxfId="91" priority="51" operator="containsText" text="Critical">
      <formula>NOT(ISERROR(SEARCH("Critical",J11)))</formula>
    </cfRule>
  </conditionalFormatting>
  <conditionalFormatting sqref="J23">
    <cfRule type="containsText" dxfId="90" priority="40" operator="containsText" text="Sustainable">
      <formula>NOT(ISERROR(SEARCH("Sustainable",J23)))</formula>
    </cfRule>
    <cfRule type="containsText" dxfId="89" priority="41" operator="containsText" text="Moderate">
      <formula>NOT(ISERROR(SEARCH("Moderate",J23)))</formula>
    </cfRule>
    <cfRule type="containsText" dxfId="88" priority="42" operator="containsText" text="Severe">
      <formula>NOT(ISERROR(SEARCH("Severe",J23)))</formula>
    </cfRule>
    <cfRule type="containsText" dxfId="87" priority="43" operator="containsText" text="Critical">
      <formula>NOT(ISERROR(SEARCH("Critical",J23)))</formula>
    </cfRule>
  </conditionalFormatting>
  <conditionalFormatting sqref="J27 L27">
    <cfRule type="containsText" dxfId="62" priority="61" operator="containsText" text="Sustainable">
      <formula>NOT(ISERROR(SEARCH("Sustainable",J27)))</formula>
    </cfRule>
    <cfRule type="containsText" dxfId="86" priority="62" operator="containsText" text="Moderate">
      <formula>NOT(ISERROR(SEARCH("Moderate",J27)))</formula>
    </cfRule>
  </conditionalFormatting>
  <conditionalFormatting sqref="J27">
    <cfRule type="containsText" dxfId="85" priority="67" operator="containsText" text="Severe">
      <formula>NOT(ISERROR(SEARCH("Severe",J27)))</formula>
    </cfRule>
    <cfRule type="containsText" dxfId="84" priority="68" operator="containsText" text="Critical">
      <formula>NOT(ISERROR(SEARCH("Critical",J27)))</formula>
    </cfRule>
  </conditionalFormatting>
  <conditionalFormatting sqref="K7">
    <cfRule type="containsText" dxfId="83" priority="56" operator="containsText" text="Regression">
      <formula>NOT(ISERROR(SEARCH("Regression",K7)))</formula>
    </cfRule>
    <cfRule type="containsText" dxfId="82" priority="57" operator="containsText" text="No Change">
      <formula>NOT(ISERROR(SEARCH("No Change",K7)))</formula>
    </cfRule>
    <cfRule type="containsText" dxfId="81" priority="58" operator="containsText" text="Slight Improvement">
      <formula>NOT(ISERROR(SEARCH("Slight Improvement",K7)))</formula>
    </cfRule>
    <cfRule type="containsText" dxfId="80" priority="59" operator="containsText" text="Moderate Improvement">
      <formula>NOT(ISERROR(SEARCH("Moderate Improvement",K7)))</formula>
    </cfRule>
    <cfRule type="containsText" dxfId="79" priority="60" operator="containsText" text="Strong Improvement">
      <formula>NOT(ISERROR(SEARCH("Strong Improvement",K7)))</formula>
    </cfRule>
  </conditionalFormatting>
  <conditionalFormatting sqref="L7 L11 J15 J19 L23 L15 L19">
    <cfRule type="containsText" dxfId="68" priority="26" operator="containsText" text="Sustainable">
      <formula>NOT(ISERROR(SEARCH("Sustainable",J7)))</formula>
    </cfRule>
    <cfRule type="containsText" dxfId="67" priority="27" operator="containsText" text="Moderate">
      <formula>NOT(ISERROR(SEARCH("Moderate",J7)))</formula>
    </cfRule>
    <cfRule type="containsText" dxfId="66" priority="28" operator="containsText" text="Severe">
      <formula>NOT(ISERROR(SEARCH("Severe",J7)))</formula>
    </cfRule>
    <cfRule type="containsText" dxfId="65" priority="29" operator="containsText" text="Critical">
      <formula>NOT(ISERROR(SEARCH("Critical",J7)))</formula>
    </cfRule>
  </conditionalFormatting>
  <conditionalFormatting sqref="L27">
    <cfRule type="containsText" dxfId="64" priority="63" operator="containsText" text="Severe">
      <formula>NOT(ISERROR(SEARCH("Severe",L27)))</formula>
    </cfRule>
    <cfRule type="containsText" dxfId="63" priority="64" operator="containsText" text="Critical">
      <formula>NOT(ISERROR(SEARCH("Critical",L27)))</formula>
    </cfRule>
  </conditionalFormatting>
  <conditionalFormatting sqref="K11">
    <cfRule type="containsText" dxfId="24" priority="21" operator="containsText" text="Regression">
      <formula>NOT(ISERROR(SEARCH("Regression",K11)))</formula>
    </cfRule>
    <cfRule type="containsText" dxfId="23" priority="22" operator="containsText" text="No Change">
      <formula>NOT(ISERROR(SEARCH("No Change",K11)))</formula>
    </cfRule>
    <cfRule type="containsText" dxfId="22" priority="23" operator="containsText" text="Slight Improvement">
      <formula>NOT(ISERROR(SEARCH("Slight Improvement",K11)))</formula>
    </cfRule>
    <cfRule type="containsText" dxfId="21" priority="24" operator="containsText" text="Moderate Improvement">
      <formula>NOT(ISERROR(SEARCH("Moderate Improvement",K11)))</formula>
    </cfRule>
    <cfRule type="containsText" dxfId="20" priority="25" operator="containsText" text="Strong Improvement">
      <formula>NOT(ISERROR(SEARCH("Strong Improvement",K11)))</formula>
    </cfRule>
  </conditionalFormatting>
  <conditionalFormatting sqref="K15">
    <cfRule type="containsText" dxfId="19" priority="16" operator="containsText" text="Regression">
      <formula>NOT(ISERROR(SEARCH("Regression",K15)))</formula>
    </cfRule>
    <cfRule type="containsText" dxfId="18" priority="17" operator="containsText" text="No Change">
      <formula>NOT(ISERROR(SEARCH("No Change",K15)))</formula>
    </cfRule>
    <cfRule type="containsText" dxfId="17" priority="18" operator="containsText" text="Slight Improvement">
      <formula>NOT(ISERROR(SEARCH("Slight Improvement",K15)))</formula>
    </cfRule>
    <cfRule type="containsText" dxfId="16" priority="19" operator="containsText" text="Moderate Improvement">
      <formula>NOT(ISERROR(SEARCH("Moderate Improvement",K15)))</formula>
    </cfRule>
    <cfRule type="containsText" dxfId="15" priority="20" operator="containsText" text="Strong Improvement">
      <formula>NOT(ISERROR(SEARCH("Strong Improvement",K15)))</formula>
    </cfRule>
  </conditionalFormatting>
  <conditionalFormatting sqref="K19">
    <cfRule type="containsText" dxfId="14" priority="11" operator="containsText" text="Regression">
      <formula>NOT(ISERROR(SEARCH("Regression",K19)))</formula>
    </cfRule>
    <cfRule type="containsText" dxfId="13" priority="12" operator="containsText" text="No Change">
      <formula>NOT(ISERROR(SEARCH("No Change",K19)))</formula>
    </cfRule>
    <cfRule type="containsText" dxfId="12" priority="13" operator="containsText" text="Slight Improvement">
      <formula>NOT(ISERROR(SEARCH("Slight Improvement",K19)))</formula>
    </cfRule>
    <cfRule type="containsText" dxfId="11" priority="14" operator="containsText" text="Moderate Improvement">
      <formula>NOT(ISERROR(SEARCH("Moderate Improvement",K19)))</formula>
    </cfRule>
    <cfRule type="containsText" dxfId="10" priority="15" operator="containsText" text="Strong Improvement">
      <formula>NOT(ISERROR(SEARCH("Strong Improvement",K19)))</formula>
    </cfRule>
  </conditionalFormatting>
  <conditionalFormatting sqref="K27">
    <cfRule type="containsText" dxfId="9" priority="6" operator="containsText" text="Regression">
      <formula>NOT(ISERROR(SEARCH("Regression",K27)))</formula>
    </cfRule>
    <cfRule type="containsText" dxfId="8" priority="7" operator="containsText" text="No Change">
      <formula>NOT(ISERROR(SEARCH("No Change",K27)))</formula>
    </cfRule>
    <cfRule type="containsText" dxfId="7" priority="8" operator="containsText" text="Slight Improvement">
      <formula>NOT(ISERROR(SEARCH("Slight Improvement",K27)))</formula>
    </cfRule>
    <cfRule type="containsText" dxfId="6" priority="9" operator="containsText" text="Moderate Improvement">
      <formula>NOT(ISERROR(SEARCH("Moderate Improvement",K27)))</formula>
    </cfRule>
    <cfRule type="containsText" dxfId="5" priority="10" operator="containsText" text="Strong Improvement">
      <formula>NOT(ISERROR(SEARCH("Strong Improvement",K27)))</formula>
    </cfRule>
  </conditionalFormatting>
  <conditionalFormatting sqref="K23">
    <cfRule type="containsText" dxfId="4" priority="1" operator="containsText" text="Regression">
      <formula>NOT(ISERROR(SEARCH("Regression",K23)))</formula>
    </cfRule>
    <cfRule type="containsText" dxfId="3" priority="2" operator="containsText" text="No Change">
      <formula>NOT(ISERROR(SEARCH("No Change",K23)))</formula>
    </cfRule>
    <cfRule type="containsText" dxfId="2" priority="3" operator="containsText" text="Slight Improvement">
      <formula>NOT(ISERROR(SEARCH("Slight Improvement",K23)))</formula>
    </cfRule>
    <cfRule type="containsText" dxfId="1" priority="4" operator="containsText" text="Moderate Improvement">
      <formula>NOT(ISERROR(SEARCH("Moderate Improvement",K23)))</formula>
    </cfRule>
    <cfRule type="containsText" dxfId="0" priority="5" operator="containsText" text="Strong Improvement">
      <formula>NOT(ISERROR(SEARCH("Strong Improvement",K23)))</formula>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outlinePr summaryBelow="0" summaryRight="0"/>
  </sheetPr>
  <dimension ref="D2:G21"/>
  <sheetViews>
    <sheetView workbookViewId="0">
      <selection activeCell="D11" sqref="D10:D11"/>
    </sheetView>
  </sheetViews>
  <sheetFormatPr defaultColWidth="12.6640625" defaultRowHeight="15.75" customHeight="1"/>
  <cols>
    <col min="3" max="3" width="15.88671875" customWidth="1"/>
    <col min="4" max="4" width="55.77734375" customWidth="1"/>
    <col min="5" max="5" width="60.6640625" customWidth="1"/>
  </cols>
  <sheetData>
    <row r="2" spans="4:7" ht="97.2">
      <c r="D2" s="137" t="s">
        <v>200</v>
      </c>
      <c r="E2" s="138"/>
    </row>
    <row r="5" spans="4:7" ht="15.75" customHeight="1">
      <c r="D5" s="31" t="s">
        <v>180</v>
      </c>
      <c r="E5" s="32" t="s">
        <v>181</v>
      </c>
    </row>
    <row r="6" spans="4:7" ht="15.75" customHeight="1">
      <c r="D6" s="39" t="s">
        <v>198</v>
      </c>
      <c r="E6" s="40" t="s">
        <v>182</v>
      </c>
    </row>
    <row r="7" spans="4:7" ht="15.75" customHeight="1">
      <c r="D7" s="39" t="s">
        <v>198</v>
      </c>
      <c r="E7" s="40" t="s">
        <v>183</v>
      </c>
    </row>
    <row r="8" spans="4:7" ht="15.75" customHeight="1">
      <c r="D8" s="39" t="s">
        <v>198</v>
      </c>
      <c r="E8" s="40" t="s">
        <v>184</v>
      </c>
    </row>
    <row r="9" spans="4:7" ht="15.75" customHeight="1">
      <c r="D9" s="39" t="s">
        <v>198</v>
      </c>
      <c r="E9" s="40" t="s">
        <v>185</v>
      </c>
    </row>
    <row r="10" spans="4:7" ht="15.75" customHeight="1">
      <c r="D10" s="39" t="s">
        <v>198</v>
      </c>
      <c r="E10" s="40" t="s">
        <v>186</v>
      </c>
    </row>
    <row r="11" spans="4:7" ht="15.75" customHeight="1">
      <c r="D11" s="39" t="s">
        <v>198</v>
      </c>
      <c r="E11" s="41" t="s">
        <v>187</v>
      </c>
    </row>
    <row r="12" spans="4:7" ht="15.75" customHeight="1">
      <c r="D12" s="39" t="s">
        <v>198</v>
      </c>
      <c r="E12" s="41" t="s">
        <v>188</v>
      </c>
    </row>
    <row r="13" spans="4:7" ht="15.75" customHeight="1">
      <c r="D13" s="39" t="s">
        <v>198</v>
      </c>
      <c r="E13" s="41" t="s">
        <v>189</v>
      </c>
    </row>
    <row r="14" spans="4:7" ht="15.75" customHeight="1">
      <c r="D14" s="39" t="s">
        <v>198</v>
      </c>
      <c r="E14" s="41" t="s">
        <v>190</v>
      </c>
    </row>
    <row r="15" spans="4:7" ht="15.75" customHeight="1">
      <c r="D15" s="39" t="s">
        <v>198</v>
      </c>
      <c r="E15" s="41" t="s">
        <v>191</v>
      </c>
    </row>
    <row r="16" spans="4:7" ht="15.75" customHeight="1">
      <c r="D16" s="39" t="s">
        <v>198</v>
      </c>
      <c r="E16" s="41" t="s">
        <v>192</v>
      </c>
      <c r="G16" s="33"/>
    </row>
    <row r="17" spans="4:5" ht="15.75" customHeight="1">
      <c r="D17" s="39" t="s">
        <v>198</v>
      </c>
      <c r="E17" s="41" t="s">
        <v>193</v>
      </c>
    </row>
    <row r="18" spans="4:5" ht="15.75" customHeight="1">
      <c r="D18" s="39" t="s">
        <v>198</v>
      </c>
      <c r="E18" s="41" t="s">
        <v>194</v>
      </c>
    </row>
    <row r="19" spans="4:5" ht="15.75" customHeight="1">
      <c r="D19" s="39" t="s">
        <v>198</v>
      </c>
      <c r="E19" s="41" t="s">
        <v>195</v>
      </c>
    </row>
    <row r="20" spans="4:5" ht="15.75" customHeight="1">
      <c r="D20" s="39" t="s">
        <v>198</v>
      </c>
      <c r="E20" s="41" t="s">
        <v>196</v>
      </c>
    </row>
    <row r="21" spans="4:5" ht="13.2">
      <c r="E21" s="33"/>
    </row>
  </sheetData>
  <mergeCells count="1">
    <mergeCell ref="D2:E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Risk Table</vt:lpstr>
      <vt:lpstr>Dashboard </vt:lpstr>
      <vt:lpstr>CHECKLIST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MSI</dc:creator>
  <cp:lastModifiedBy>Amine Bouraoui</cp:lastModifiedBy>
  <dcterms:created xsi:type="dcterms:W3CDTF">2025-11-10T17:12:31Z</dcterms:created>
  <dcterms:modified xsi:type="dcterms:W3CDTF">2025-11-12T16:49:12Z</dcterms:modified>
</cp:coreProperties>
</file>